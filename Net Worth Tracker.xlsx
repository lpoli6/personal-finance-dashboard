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Home Equity" sheetId="2" r:id="rId6"/>
    <sheet state="visible" name="Budget" sheetId="3" r:id="rId7"/>
    <sheet state="visible" name="Subscriptions" sheetId="4" r:id="rId8"/>
    <sheet state="visible" name="Future Planning" sheetId="5" r:id="rId9"/>
    <sheet state="visible" name="CBRE" sheetId="6" r:id="rId10"/>
    <sheet state="visible" name="Budget Planning 2627" sheetId="7" r:id="rId11"/>
    <sheet state="visible" name="Wedding Budget" sheetId="8" r:id="rId12"/>
  </sheets>
  <definedNames/>
  <calcPr/>
</workbook>
</file>

<file path=xl/sharedStrings.xml><?xml version="1.0" encoding="utf-8"?>
<sst xmlns="http://schemas.openxmlformats.org/spreadsheetml/2006/main" count="541" uniqueCount="479">
  <si>
    <t>*Trump Tariffs</t>
  </si>
  <si>
    <t>Property Valuation</t>
  </si>
  <si>
    <t>Assets</t>
  </si>
  <si>
    <t>Total Assets</t>
  </si>
  <si>
    <t>Cash</t>
  </si>
  <si>
    <t>Marcus (Cash Savings)</t>
  </si>
  <si>
    <t>First Direct (Regular Saver)</t>
  </si>
  <si>
    <t>ISA</t>
  </si>
  <si>
    <t>LISA (AJ Bell)</t>
  </si>
  <si>
    <t>Vanguard ISA</t>
  </si>
  <si>
    <t>Pension</t>
  </si>
  <si>
    <t>Pension 1 (Fidelity, Palantir)</t>
  </si>
  <si>
    <t>Pension 2 (Legal &amp; General, Deliveroo)</t>
  </si>
  <si>
    <t>Pension 3 (Legal &amp; General, DueDil)</t>
  </si>
  <si>
    <t>General Investment Account</t>
  </si>
  <si>
    <t>Vested Palantir Stock</t>
  </si>
  <si>
    <t>GIA Account</t>
  </si>
  <si>
    <t>Property</t>
  </si>
  <si>
    <t>Home Equity (%)</t>
  </si>
  <si>
    <t>Home Equity (absolute)</t>
  </si>
  <si>
    <t>Liabilities</t>
  </si>
  <si>
    <t>Total Liabilities</t>
  </si>
  <si>
    <t>Debts</t>
  </si>
  <si>
    <t>Car Finance</t>
  </si>
  <si>
    <t>Personal Loans</t>
  </si>
  <si>
    <t>Mortgage</t>
  </si>
  <si>
    <t>Mortgage Remaining</t>
  </si>
  <si>
    <t>% change MoM</t>
  </si>
  <si>
    <t>-</t>
  </si>
  <si>
    <t>absolute change MoM</t>
  </si>
  <si>
    <t>Net Worth</t>
  </si>
  <si>
    <t>Monthly Repayment</t>
  </si>
  <si>
    <t>Monthly Interest</t>
  </si>
  <si>
    <t>Monthly Equity Repayment</t>
  </si>
  <si>
    <t>Total Left</t>
  </si>
  <si>
    <t>Total Paid So Far</t>
  </si>
  <si>
    <t>% of Equity</t>
  </si>
  <si>
    <t>House Value</t>
  </si>
  <si>
    <t>Mortgage Fees</t>
  </si>
  <si>
    <t>Month 1</t>
  </si>
  <si>
    <t>Deposit</t>
  </si>
  <si>
    <t>Month 2</t>
  </si>
  <si>
    <t>Interest Rate (Yearly)</t>
  </si>
  <si>
    <t>Month 3</t>
  </si>
  <si>
    <t>Left to Repay</t>
  </si>
  <si>
    <t>Month 4</t>
  </si>
  <si>
    <t>Interest Rate (Monthly)</t>
  </si>
  <si>
    <t>Month 5</t>
  </si>
  <si>
    <t>Month 6</t>
  </si>
  <si>
    <t>Month 7</t>
  </si>
  <si>
    <t>Month 8</t>
  </si>
  <si>
    <t>Projected Equity (%)</t>
  </si>
  <si>
    <t>Projected Equity (£)</t>
  </si>
  <si>
    <t>Month 9</t>
  </si>
  <si>
    <t xml:space="preserve">Year 0 </t>
  </si>
  <si>
    <t>Month 10</t>
  </si>
  <si>
    <t xml:space="preserve">Year 5 </t>
  </si>
  <si>
    <t>Month 11</t>
  </si>
  <si>
    <t>Year 10</t>
  </si>
  <si>
    <t>Month 12</t>
  </si>
  <si>
    <t>Year 15</t>
  </si>
  <si>
    <t>Month 13</t>
  </si>
  <si>
    <t>Year 20</t>
  </si>
  <si>
    <t>Month 14</t>
  </si>
  <si>
    <t>Year 25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</si>
  <si>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</si>
  <si>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</si>
  <si>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</si>
  <si>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</si>
  <si>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</si>
  <si>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</si>
  <si>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</si>
  <si>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</si>
  <si>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</si>
  <si>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</si>
  <si>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</si>
  <si>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</si>
  <si>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</si>
  <si>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</si>
  <si>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</si>
  <si>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</si>
  <si>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</si>
  <si>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</si>
  <si>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</si>
  <si>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</si>
  <si>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</si>
  <si>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</si>
  <si>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</si>
  <si>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</si>
  <si>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</si>
  <si>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</si>
  <si>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</si>
  <si>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</si>
  <si>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</si>
  <si>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</si>
  <si>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</si>
  <si>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</si>
  <si>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</si>
  <si>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</si>
  <si>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</si>
  <si>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</si>
  <si>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</si>
  <si>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</si>
  <si>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</si>
  <si>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</si>
  <si>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</si>
  <si>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</si>
  <si>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</si>
  <si>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</si>
  <si>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</si>
  <si>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</si>
  <si>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Month 61</t>
  </si>
  <si>
    <t>Month 62</t>
  </si>
  <si>
    <t>Month 63</t>
  </si>
  <si>
    <t>Month 64</t>
  </si>
  <si>
    <t>Month 65</t>
  </si>
  <si>
    <t>Month 66</t>
  </si>
  <si>
    <t>Month 67</t>
  </si>
  <si>
    <t>Month 68</t>
  </si>
  <si>
    <t>Month 69</t>
  </si>
  <si>
    <t>Month 70</t>
  </si>
  <si>
    <t>Month 71</t>
  </si>
  <si>
    <t>Month 72</t>
  </si>
  <si>
    <t>Month 73</t>
  </si>
  <si>
    <t>Month 74</t>
  </si>
  <si>
    <t>Month 75</t>
  </si>
  <si>
    <t>Month 76</t>
  </si>
  <si>
    <t>Month 77</t>
  </si>
  <si>
    <t>Month 78</t>
  </si>
  <si>
    <t>Month 79</t>
  </si>
  <si>
    <t>Month 80</t>
  </si>
  <si>
    <t>Month 81</t>
  </si>
  <si>
    <t>Month 82</t>
  </si>
  <si>
    <t>Month 83</t>
  </si>
  <si>
    <t>Month 84</t>
  </si>
  <si>
    <t>Month 85</t>
  </si>
  <si>
    <t>Month 86</t>
  </si>
  <si>
    <t>Month 87</t>
  </si>
  <si>
    <t>Month 88</t>
  </si>
  <si>
    <t>Month 89</t>
  </si>
  <si>
    <t>Month 90</t>
  </si>
  <si>
    <t>Month 91</t>
  </si>
  <si>
    <t>Month 92</t>
  </si>
  <si>
    <t>Month 93</t>
  </si>
  <si>
    <t>Month 94</t>
  </si>
  <si>
    <t>Month 95</t>
  </si>
  <si>
    <t>Month 96</t>
  </si>
  <si>
    <t>Month 97</t>
  </si>
  <si>
    <t>Month 98</t>
  </si>
  <si>
    <t>Month 99</t>
  </si>
  <si>
    <t>Month 100</t>
  </si>
  <si>
    <t>Month 101</t>
  </si>
  <si>
    <t>Month 102</t>
  </si>
  <si>
    <t>Month 103</t>
  </si>
  <si>
    <t>Month 104</t>
  </si>
  <si>
    <t>Month 105</t>
  </si>
  <si>
    <t>Month 106</t>
  </si>
  <si>
    <t>Month 107</t>
  </si>
  <si>
    <t>Month 108</t>
  </si>
  <si>
    <t>Month 109</t>
  </si>
  <si>
    <t>Month 110</t>
  </si>
  <si>
    <t>Month 111</t>
  </si>
  <si>
    <t>Month 112</t>
  </si>
  <si>
    <t>Month 113</t>
  </si>
  <si>
    <t>Month 114</t>
  </si>
  <si>
    <t>Month 115</t>
  </si>
  <si>
    <t>Month 116</t>
  </si>
  <si>
    <t>Month 117</t>
  </si>
  <si>
    <t>Month 118</t>
  </si>
  <si>
    <t>Month 119</t>
  </si>
  <si>
    <t>Month 120</t>
  </si>
  <si>
    <t>Month 121</t>
  </si>
  <si>
    <t>Month 122</t>
  </si>
  <si>
    <t>Month 123</t>
  </si>
  <si>
    <t>Month 124</t>
  </si>
  <si>
    <t>Month 125</t>
  </si>
  <si>
    <t>Month 126</t>
  </si>
  <si>
    <t>Month 127</t>
  </si>
  <si>
    <t>Month 128</t>
  </si>
  <si>
    <t>Month 129</t>
  </si>
  <si>
    <t>Month 130</t>
  </si>
  <si>
    <t>Month 131</t>
  </si>
  <si>
    <t>Month 132</t>
  </si>
  <si>
    <t>Month 133</t>
  </si>
  <si>
    <t>Month 134</t>
  </si>
  <si>
    <t>Month 135</t>
  </si>
  <si>
    <t>Month 136</t>
  </si>
  <si>
    <t>Month 137</t>
  </si>
  <si>
    <t>Month 138</t>
  </si>
  <si>
    <t>Month 139</t>
  </si>
  <si>
    <t>Month 140</t>
  </si>
  <si>
    <t>Month 141</t>
  </si>
  <si>
    <t>Month 142</t>
  </si>
  <si>
    <t>Month 143</t>
  </si>
  <si>
    <t>Month 144</t>
  </si>
  <si>
    <t>Month 145</t>
  </si>
  <si>
    <t>Month 146</t>
  </si>
  <si>
    <t>Month 147</t>
  </si>
  <si>
    <t>Month 148</t>
  </si>
  <si>
    <t>Month 149</t>
  </si>
  <si>
    <t>Month 150</t>
  </si>
  <si>
    <t>Month 151</t>
  </si>
  <si>
    <t>Month 152</t>
  </si>
  <si>
    <t>Month 153</t>
  </si>
  <si>
    <t>Month 154</t>
  </si>
  <si>
    <t>Month 155</t>
  </si>
  <si>
    <t>Month 156</t>
  </si>
  <si>
    <t>Month 157</t>
  </si>
  <si>
    <t>Month 158</t>
  </si>
  <si>
    <t>Month 159</t>
  </si>
  <si>
    <t>Month 160</t>
  </si>
  <si>
    <t>Month 161</t>
  </si>
  <si>
    <t>Month 162</t>
  </si>
  <si>
    <t>Month 163</t>
  </si>
  <si>
    <t>Month 164</t>
  </si>
  <si>
    <t>Month 165</t>
  </si>
  <si>
    <t>Month 166</t>
  </si>
  <si>
    <t>Month 167</t>
  </si>
  <si>
    <t>Month 168</t>
  </si>
  <si>
    <t>Month 169</t>
  </si>
  <si>
    <t>Month 170</t>
  </si>
  <si>
    <t>Month 171</t>
  </si>
  <si>
    <t>Month 172</t>
  </si>
  <si>
    <t>Month 173</t>
  </si>
  <si>
    <t>Month 174</t>
  </si>
  <si>
    <t>Month 175</t>
  </si>
  <si>
    <t>Month 176</t>
  </si>
  <si>
    <t>Month 177</t>
  </si>
  <si>
    <t>Month 178</t>
  </si>
  <si>
    <t>Month 179</t>
  </si>
  <si>
    <t>Month 180</t>
  </si>
  <si>
    <t>Month 181</t>
  </si>
  <si>
    <t>Month 182</t>
  </si>
  <si>
    <t>Month 183</t>
  </si>
  <si>
    <t>Month 184</t>
  </si>
  <si>
    <t>Month 185</t>
  </si>
  <si>
    <t>Month 186</t>
  </si>
  <si>
    <t>Month 187</t>
  </si>
  <si>
    <t>Month 188</t>
  </si>
  <si>
    <t>Month 189</t>
  </si>
  <si>
    <t>Month 190</t>
  </si>
  <si>
    <t>Month 191</t>
  </si>
  <si>
    <t>Month 192</t>
  </si>
  <si>
    <t>Month 193</t>
  </si>
  <si>
    <t>Month 194</t>
  </si>
  <si>
    <t>Month 195</t>
  </si>
  <si>
    <t>Month 196</t>
  </si>
  <si>
    <t>Month 197</t>
  </si>
  <si>
    <t>Month 198</t>
  </si>
  <si>
    <t>Month 199</t>
  </si>
  <si>
    <t>Month 200</t>
  </si>
  <si>
    <t>Month 201</t>
  </si>
  <si>
    <t>Month 202</t>
  </si>
  <si>
    <t>Month 203</t>
  </si>
  <si>
    <t>Month 204</t>
  </si>
  <si>
    <t>Month 205</t>
  </si>
  <si>
    <t>Month 206</t>
  </si>
  <si>
    <t>Month 207</t>
  </si>
  <si>
    <t>Month 208</t>
  </si>
  <si>
    <t>Month 209</t>
  </si>
  <si>
    <t>Month 210</t>
  </si>
  <si>
    <t>Month 211</t>
  </si>
  <si>
    <t>Month 212</t>
  </si>
  <si>
    <t>Month 213</t>
  </si>
  <si>
    <t>Month 214</t>
  </si>
  <si>
    <t>Month 215</t>
  </si>
  <si>
    <t>Month 216</t>
  </si>
  <si>
    <t>Month 217</t>
  </si>
  <si>
    <t>Month 218</t>
  </si>
  <si>
    <t>Month 219</t>
  </si>
  <si>
    <t>Month 220</t>
  </si>
  <si>
    <t>Month 221</t>
  </si>
  <si>
    <t>Month 222</t>
  </si>
  <si>
    <t>Month 223</t>
  </si>
  <si>
    <t>Month 224</t>
  </si>
  <si>
    <t>Month 225</t>
  </si>
  <si>
    <t>Month 226</t>
  </si>
  <si>
    <t>Month 227</t>
  </si>
  <si>
    <t>Month 228</t>
  </si>
  <si>
    <t>Month 229</t>
  </si>
  <si>
    <t>Month 230</t>
  </si>
  <si>
    <t>Month 231</t>
  </si>
  <si>
    <t>Month 232</t>
  </si>
  <si>
    <t>Month 233</t>
  </si>
  <si>
    <t>Month 234</t>
  </si>
  <si>
    <t>Month 235</t>
  </si>
  <si>
    <t>Month 236</t>
  </si>
  <si>
    <t>Month 237</t>
  </si>
  <si>
    <t>Month 238</t>
  </si>
  <si>
    <t>Month 239</t>
  </si>
  <si>
    <t>Month 240</t>
  </si>
  <si>
    <t>Month 241</t>
  </si>
  <si>
    <t>Month 242</t>
  </si>
  <si>
    <t>Month 243</t>
  </si>
  <si>
    <t>Month 244</t>
  </si>
  <si>
    <t>Month 245</t>
  </si>
  <si>
    <t>Month 246</t>
  </si>
  <si>
    <t>Month 247</t>
  </si>
  <si>
    <t>Month 248</t>
  </si>
  <si>
    <t>Month 249</t>
  </si>
  <si>
    <t>Month 250</t>
  </si>
  <si>
    <t>Month 251</t>
  </si>
  <si>
    <t>Month 252</t>
  </si>
  <si>
    <t>Month 253</t>
  </si>
  <si>
    <t>Month 254</t>
  </si>
  <si>
    <t>Month 255</t>
  </si>
  <si>
    <t>Month 256</t>
  </si>
  <si>
    <t>Month 257</t>
  </si>
  <si>
    <t>Month 258</t>
  </si>
  <si>
    <t>Month 259</t>
  </si>
  <si>
    <t>Month 260</t>
  </si>
  <si>
    <t>Month 261</t>
  </si>
  <si>
    <t>Month 262</t>
  </si>
  <si>
    <t>Month 263</t>
  </si>
  <si>
    <t>Month 264</t>
  </si>
  <si>
    <t>Month 265</t>
  </si>
  <si>
    <t>Month 266</t>
  </si>
  <si>
    <t>Month 267</t>
  </si>
  <si>
    <t>Month 268</t>
  </si>
  <si>
    <t>Month 269</t>
  </si>
  <si>
    <t>Month 270</t>
  </si>
  <si>
    <t>Month 271</t>
  </si>
  <si>
    <t>Month 272</t>
  </si>
  <si>
    <t>Month 273</t>
  </si>
  <si>
    <t>Month 274</t>
  </si>
  <si>
    <t>Month 275</t>
  </si>
  <si>
    <t>Month 276</t>
  </si>
  <si>
    <t>Month 277</t>
  </si>
  <si>
    <t>Month 278</t>
  </si>
  <si>
    <t>Month 279</t>
  </si>
  <si>
    <t>Month 280</t>
  </si>
  <si>
    <t>Month 281</t>
  </si>
  <si>
    <t>Month 282</t>
  </si>
  <si>
    <t>Month 283</t>
  </si>
  <si>
    <t>Month 284</t>
  </si>
  <si>
    <t>Month 285</t>
  </si>
  <si>
    <t>Month 286</t>
  </si>
  <si>
    <t>Month 287</t>
  </si>
  <si>
    <t>Month 288</t>
  </si>
  <si>
    <t>Month 289</t>
  </si>
  <si>
    <t>Month 290</t>
  </si>
  <si>
    <t>Month 291</t>
  </si>
  <si>
    <t>Month 292</t>
  </si>
  <si>
    <t>Month 293</t>
  </si>
  <si>
    <t>Month 294</t>
  </si>
  <si>
    <t>Month 295</t>
  </si>
  <si>
    <t>Month 296</t>
  </si>
  <si>
    <t>Month 297</t>
  </si>
  <si>
    <t>Month 298</t>
  </si>
  <si>
    <t>Month 299</t>
  </si>
  <si>
    <t>Month 300</t>
  </si>
  <si>
    <t>Total</t>
  </si>
  <si>
    <t>Income</t>
  </si>
  <si>
    <t>Item</t>
  </si>
  <si>
    <t>Value</t>
  </si>
  <si>
    <t>Fixed Costs</t>
  </si>
  <si>
    <t>Monthly take-home</t>
  </si>
  <si>
    <t>Joint Account</t>
  </si>
  <si>
    <t>Total committed</t>
  </si>
  <si>
    <t>Discretionary</t>
  </si>
  <si>
    <t>Vanguard - Investment</t>
  </si>
  <si>
    <t>Salary sacrifice Jan-Mar</t>
  </si>
  <si>
    <t>Marcus - Savings</t>
  </si>
  <si>
    <t>Salary sacrifice Apr onwards</t>
  </si>
  <si>
    <t>Total Committed</t>
  </si>
  <si>
    <t>Name</t>
  </si>
  <si>
    <t>Monthly Cost</t>
  </si>
  <si>
    <t>Annual Cost</t>
  </si>
  <si>
    <t>Category</t>
  </si>
  <si>
    <t>Renewal Date</t>
  </si>
  <si>
    <t>Social Sauna</t>
  </si>
  <si>
    <t>Fitness</t>
  </si>
  <si>
    <t>Monthly</t>
  </si>
  <si>
    <t>Milo &amp; the Bull</t>
  </si>
  <si>
    <t>TrainerRoad</t>
  </si>
  <si>
    <t>Annual</t>
  </si>
  <si>
    <t>JOIN Cycling</t>
  </si>
  <si>
    <t>Runna</t>
  </si>
  <si>
    <t>Netflix</t>
  </si>
  <si>
    <t>Entertainment</t>
  </si>
  <si>
    <t>Amazon Prime</t>
  </si>
  <si>
    <t>Apple TV</t>
  </si>
  <si>
    <t>Granola</t>
  </si>
  <si>
    <t>Improvement</t>
  </si>
  <si>
    <t>Starlink</t>
  </si>
  <si>
    <t>Miscellaneous</t>
  </si>
  <si>
    <t>Spotify</t>
  </si>
  <si>
    <t>ClassPass (joint)</t>
  </si>
  <si>
    <t>Todoist</t>
  </si>
  <si>
    <t>ChatGPT</t>
  </si>
  <si>
    <t>Claude</t>
  </si>
  <si>
    <t>Yousician</t>
  </si>
  <si>
    <t>Strava</t>
  </si>
  <si>
    <t>Training Peaks</t>
  </si>
  <si>
    <t>iCloud+</t>
  </si>
  <si>
    <t>Google One</t>
  </si>
  <si>
    <t>Car Insurance</t>
  </si>
  <si>
    <t>Car</t>
  </si>
  <si>
    <t>Road Tax</t>
  </si>
  <si>
    <t>Car MOT</t>
  </si>
  <si>
    <t>TV Licensing</t>
  </si>
  <si>
    <t>Mounjaro</t>
  </si>
  <si>
    <t>O2 SIM</t>
  </si>
  <si>
    <t>End of 2025</t>
  </si>
  <si>
    <t>End of 2026</t>
  </si>
  <si>
    <t>*keep</t>
  </si>
  <si>
    <t>GIA</t>
  </si>
  <si>
    <t>*£350,000</t>
  </si>
  <si>
    <t>*Only GIA</t>
  </si>
  <si>
    <t>*£400,000</t>
  </si>
  <si>
    <t>Shares</t>
  </si>
  <si>
    <t>Cumulative</t>
  </si>
  <si>
    <t>Market Cap (in B)</t>
  </si>
  <si>
    <t>Share Price</t>
  </si>
  <si>
    <t>Value (USD)</t>
  </si>
  <si>
    <t>Value (GBP)</t>
  </si>
  <si>
    <t>Tax</t>
  </si>
  <si>
    <t>Net</t>
  </si>
  <si>
    <t>Relationship</t>
  </si>
  <si>
    <t>CBRE</t>
  </si>
  <si>
    <t>UK</t>
  </si>
  <si>
    <t>US</t>
  </si>
  <si>
    <t>Base</t>
  </si>
  <si>
    <t>Florida Tax Rate</t>
  </si>
  <si>
    <t>Bonus</t>
  </si>
  <si>
    <t>UK Tax Rate</t>
  </si>
  <si>
    <t>Equity</t>
  </si>
  <si>
    <t>Palantir Salary</t>
  </si>
  <si>
    <t>UK-US Conversion</t>
  </si>
  <si>
    <t>US-UK Conversion</t>
  </si>
  <si>
    <t>Palantir - £</t>
  </si>
  <si>
    <t>Palantir - $</t>
  </si>
  <si>
    <t>Dec</t>
  </si>
  <si>
    <t>Feb</t>
  </si>
  <si>
    <t>*Not taking into account stock fluctuations or comp increases (for either role)</t>
  </si>
  <si>
    <t>May</t>
  </si>
  <si>
    <t>Aug</t>
  </si>
  <si>
    <t>Year 1</t>
  </si>
  <si>
    <t>Year 2</t>
  </si>
  <si>
    <t>Year 3</t>
  </si>
  <si>
    <t>Year 4</t>
  </si>
  <si>
    <t>Palantir</t>
  </si>
  <si>
    <t>Difference (in USD)</t>
  </si>
  <si>
    <t>Time to recoup (months)</t>
  </si>
  <si>
    <t>Amount</t>
  </si>
  <si>
    <t>Type</t>
  </si>
  <si>
    <t>Priority</t>
  </si>
  <si>
    <t>Timing</t>
  </si>
  <si>
    <t>Notes</t>
  </si>
  <si>
    <t>Total Budget Available</t>
  </si>
  <si>
    <t>Wedding</t>
  </si>
  <si>
    <t>Expense</t>
  </si>
  <si>
    <t>Essential</t>
  </si>
  <si>
    <t>100-120 guests, kosher catering</t>
  </si>
  <si>
    <t>Buffer</t>
  </si>
  <si>
    <t>University (Sister)</t>
  </si>
  <si>
    <t>Gift</t>
  </si>
  <si>
    <t>2025-26</t>
  </si>
  <si>
    <t>Education support</t>
  </si>
  <si>
    <t>Engagement Party</t>
  </si>
  <si>
    <t>Pre-wedding celebration</t>
  </si>
  <si>
    <t>Civil Ceremony</t>
  </si>
  <si>
    <t>UK legal ceremony before Italy</t>
  </si>
  <si>
    <t>Victoria's 30th</t>
  </si>
  <si>
    <t>High</t>
  </si>
  <si>
    <t>Milestone birthday</t>
  </si>
  <si>
    <t>Trip with Mum &amp; Sister</t>
  </si>
  <si>
    <t>Family travel</t>
  </si>
  <si>
    <t>Sister's 18th Trip</t>
  </si>
  <si>
    <t>Birthday trip</t>
  </si>
  <si>
    <t>Holiday with Victoria</t>
  </si>
  <si>
    <t>Medium</t>
  </si>
  <si>
    <t>Annual travel</t>
  </si>
  <si>
    <t>Tax Reserve</t>
  </si>
  <si>
    <t>Reserve</t>
  </si>
  <si>
    <t>CGT safety net on stock sale</t>
  </si>
  <si>
    <t>ISA Contribution</t>
  </si>
  <si>
    <t>Investment</t>
  </si>
  <si>
    <t>Tax-efficient investing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</si>
</sst>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mmm&quot; &quot;yyyy"/>
    <numFmt numFmtId="165" formatCode="[$£-809]#,##0"/>
    <numFmt numFmtId="166" formatCode="mmm yyyy"/>
    <numFmt numFmtId="167" formatCode="&quot;£&quot;#,##0"/>
    <numFmt numFmtId="168" formatCode="0.0%"/>
    <numFmt numFmtId="169" formatCode="[$£-809]#,##0.00"/>
    <numFmt numFmtId="170" formatCode="dd/MM/yyyy"/>
    <numFmt numFmtId="171" formatCode="dd/mm/yy"/>
    <numFmt numFmtId="172" formatCode="d/m/yy"/>
    <numFmt numFmtId="173" formatCode="mmm d"/>
    <numFmt numFmtId="174" formatCode="[$$]#,##0"/>
    <numFmt numFmtId="175" formatCode="mmmm d"/>
    <numFmt numFmtId="176" formatCode="0.0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theme="1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/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i/>
      <color theme="1"/>
      <name val="Arial"/>
      <scheme val="minor"/>
    </font>
    <font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164" xfId="0" applyAlignment="1" applyBorder="1" applyFill="1" applyFont="1" applyNumberFormat="1">
      <alignment horizontal="center" readingOrder="0" vertical="center"/>
    </xf>
    <xf borderId="2" fillId="2" fontId="3" numFmtId="164" xfId="0" applyAlignment="1" applyBorder="1" applyFont="1" applyNumberFormat="1">
      <alignment horizontal="center" readingOrder="0" vertical="center"/>
    </xf>
    <xf borderId="3" fillId="2" fontId="3" numFmtId="164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4" fillId="3" fontId="5" numFmtId="0" xfId="0" applyAlignment="1" applyBorder="1" applyFill="1" applyFont="1">
      <alignment horizontal="center" readingOrder="0" vertical="center"/>
    </xf>
    <xf borderId="2" fillId="3" fontId="6" numFmtId="0" xfId="0" applyAlignment="1" applyBorder="1" applyFont="1">
      <alignment horizontal="center" readingOrder="0" vertical="center"/>
    </xf>
    <xf borderId="1" fillId="0" fontId="3" numFmtId="165" xfId="0" applyAlignment="1" applyBorder="1" applyFont="1" applyNumberFormat="1">
      <alignment horizontal="center" readingOrder="0" vertical="center"/>
    </xf>
    <xf borderId="2" fillId="0" fontId="3" numFmtId="165" xfId="0" applyAlignment="1" applyBorder="1" applyFont="1" applyNumberFormat="1">
      <alignment horizontal="center" readingOrder="0" vertical="center"/>
    </xf>
    <xf borderId="3" fillId="0" fontId="3" numFmtId="165" xfId="0" applyAlignment="1" applyBorder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1" numFmtId="167" xfId="0" applyAlignment="1" applyFont="1" applyNumberFormat="1">
      <alignment horizontal="center" readingOrder="0" vertical="center"/>
    </xf>
    <xf borderId="5" fillId="0" fontId="7" numFmtId="0" xfId="0" applyBorder="1" applyFont="1"/>
    <xf borderId="5" fillId="3" fontId="8" numFmtId="0" xfId="0" applyAlignment="1" applyBorder="1" applyFon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6" fillId="0" fontId="3" numFmtId="165" xfId="0" applyAlignment="1" applyBorder="1" applyFont="1" applyNumberForma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0" fillId="4" fontId="1" numFmtId="165" xfId="0" applyAlignment="1" applyFill="1" applyFont="1" applyNumberFormat="1">
      <alignment horizontal="center" readingOrder="0" vertical="center"/>
    </xf>
    <xf borderId="6" fillId="4" fontId="1" numFmtId="165" xfId="0" applyAlignment="1" applyBorder="1" applyFont="1" applyNumberFormat="1">
      <alignment horizontal="center" readingOrder="0" vertical="center"/>
    </xf>
    <xf borderId="5" fillId="3" fontId="1" numFmtId="0" xfId="0" applyAlignment="1" applyBorder="1" applyFont="1">
      <alignment horizontal="center" readingOrder="0" vertical="center"/>
    </xf>
    <xf borderId="0" fillId="5" fontId="3" numFmtId="165" xfId="0" applyAlignment="1" applyFill="1" applyFont="1" applyNumberFormat="1">
      <alignment horizontal="center" readingOrder="0" vertical="center"/>
    </xf>
    <xf borderId="0" fillId="4" fontId="1" numFmtId="168" xfId="0" applyAlignment="1" applyFont="1" applyNumberFormat="1">
      <alignment horizontal="center" readingOrder="0" vertical="center"/>
    </xf>
    <xf borderId="6" fillId="4" fontId="1" numFmtId="168" xfId="0" applyAlignment="1" applyBorder="1" applyFont="1" applyNumberFormat="1">
      <alignment horizontal="center" readingOrder="0" vertical="center"/>
    </xf>
    <xf borderId="7" fillId="0" fontId="7" numFmtId="0" xfId="0" applyBorder="1" applyFont="1"/>
    <xf borderId="4" fillId="6" fontId="9" numFmtId="0" xfId="0" applyAlignment="1" applyBorder="1" applyFill="1" applyFont="1">
      <alignment horizontal="center" readingOrder="0" vertical="center"/>
    </xf>
    <xf borderId="3" fillId="6" fontId="10" numFmtId="0" xfId="0" applyAlignment="1" applyBorder="1" applyFont="1">
      <alignment horizontal="center" readingOrder="0" vertical="center"/>
    </xf>
    <xf borderId="8" fillId="6" fontId="11" numFmtId="0" xfId="0" applyAlignment="1" applyBorder="1" applyFont="1">
      <alignment horizontal="center" readingOrder="0" vertical="center"/>
    </xf>
    <xf borderId="5" fillId="6" fontId="12" numFmtId="0" xfId="0" applyAlignment="1" applyBorder="1" applyFont="1">
      <alignment horizontal="center" readingOrder="0" vertical="center"/>
    </xf>
    <xf borderId="5" fillId="6" fontId="1" numFmtId="0" xfId="0" applyAlignment="1" applyBorder="1" applyFont="1">
      <alignment horizontal="center" readingOrder="0" vertical="center"/>
    </xf>
    <xf borderId="9" fillId="6" fontId="13" numFmtId="0" xfId="0" applyAlignment="1" applyBorder="1" applyFont="1">
      <alignment horizontal="center" readingOrder="0" vertical="center"/>
    </xf>
    <xf borderId="4" fillId="7" fontId="1" numFmtId="0" xfId="0" applyAlignment="1" applyBorder="1" applyFill="1" applyFont="1">
      <alignment horizontal="center" readingOrder="0" vertical="center"/>
    </xf>
    <xf borderId="2" fillId="7" fontId="1" numFmtId="165" xfId="0" applyAlignment="1" applyBorder="1" applyFont="1" applyNumberFormat="1">
      <alignment horizontal="center" readingOrder="0" vertical="center"/>
    </xf>
    <xf borderId="2" fillId="7" fontId="1" numFmtId="168" xfId="0" applyAlignment="1" applyBorder="1" applyFont="1" applyNumberFormat="1">
      <alignment horizontal="center" vertical="center"/>
    </xf>
    <xf borderId="3" fillId="7" fontId="1" numFmtId="168" xfId="0" applyAlignment="1" applyBorder="1" applyFont="1" applyNumberFormat="1">
      <alignment horizontal="center" vertical="center"/>
    </xf>
    <xf borderId="7" fillId="7" fontId="1" numFmtId="0" xfId="0" applyAlignment="1" applyBorder="1" applyFont="1">
      <alignment horizontal="center" readingOrder="0" vertical="center"/>
    </xf>
    <xf borderId="10" fillId="7" fontId="1" numFmtId="165" xfId="0" applyAlignment="1" applyBorder="1" applyFont="1" applyNumberFormat="1">
      <alignment horizontal="center" readingOrder="0" vertical="center"/>
    </xf>
    <xf borderId="10" fillId="7" fontId="1" numFmtId="165" xfId="0" applyAlignment="1" applyBorder="1" applyFont="1" applyNumberFormat="1">
      <alignment horizontal="center" vertical="center"/>
    </xf>
    <xf borderId="11" fillId="7" fontId="1" numFmtId="165" xfId="0" applyAlignment="1" applyBorder="1" applyFont="1" applyNumberFormat="1">
      <alignment horizontal="center" vertical="center"/>
    </xf>
    <xf borderId="7" fillId="7" fontId="14" numFmtId="0" xfId="0" applyAlignment="1" applyBorder="1" applyFont="1">
      <alignment horizontal="center" readingOrder="0" vertical="center"/>
    </xf>
    <xf borderId="10" fillId="7" fontId="3" numFmtId="165" xfId="0" applyAlignment="1" applyBorder="1" applyFont="1" applyNumberFormat="1">
      <alignment horizontal="center" vertical="center"/>
    </xf>
    <xf borderId="11" fillId="7" fontId="3" numFmtId="165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8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readingOrder="0" shrinkToFit="0" vertical="center" wrapText="1"/>
    </xf>
    <xf borderId="0" fillId="0" fontId="1" numFmtId="10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6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9" xfId="0" applyAlignment="1" applyFont="1" applyNumberFormat="1">
      <alignment readingOrder="0" shrinkToFit="0" vertical="center" wrapText="0"/>
    </xf>
    <xf borderId="0" fillId="0" fontId="1" numFmtId="16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170" xfId="0" applyAlignment="1" applyFont="1" applyNumberFormat="1">
      <alignment horizontal="center" readingOrder="0" shrinkToFit="0" vertical="center" wrapText="0"/>
    </xf>
    <xf borderId="0" fillId="0" fontId="1" numFmtId="171" xfId="0" applyAlignment="1" applyFont="1" applyNumberFormat="1">
      <alignment horizontal="center" readingOrder="0" shrinkToFit="0" vertical="center" wrapText="0"/>
    </xf>
    <xf borderId="0" fillId="0" fontId="1" numFmtId="172" xfId="0" applyAlignment="1" applyFont="1" applyNumberFormat="1">
      <alignment horizontal="center" readingOrder="0" shrinkToFit="0" vertical="center" wrapText="0"/>
    </xf>
    <xf borderId="0" fillId="0" fontId="3" numFmtId="16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70" xfId="0" applyAlignment="1" applyFont="1" applyNumberFormat="1">
      <alignment horizontal="center" shrinkToFit="0" vertical="center" wrapText="0"/>
    </xf>
    <xf borderId="0" fillId="0" fontId="1" numFmtId="169" xfId="0" applyAlignment="1" applyFont="1" applyNumberForma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65" xfId="0" applyAlignment="1" applyFont="1" applyNumberFormat="1">
      <alignment horizontal="center" readingOrder="0"/>
    </xf>
    <xf borderId="0" fillId="0" fontId="1" numFmtId="9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1" numFmtId="17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/>
    </xf>
    <xf borderId="0" fillId="0" fontId="1" numFmtId="174" xfId="0" applyAlignment="1" applyFont="1" applyNumberFormat="1">
      <alignment horizontal="center"/>
    </xf>
    <xf borderId="0" fillId="0" fontId="1" numFmtId="175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174" xfId="0" applyAlignment="1" applyFont="1" applyNumberFormat="1">
      <alignment horizontal="center" readingOrder="0" vertical="center"/>
    </xf>
    <xf borderId="0" fillId="0" fontId="1" numFmtId="9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vertical="center"/>
    </xf>
    <xf borderId="0" fillId="0" fontId="1" numFmtId="174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0" fillId="0" fontId="1" numFmtId="176" xfId="0" applyAlignment="1" applyFont="1" applyNumberForma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3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8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3" xfId="0" applyAlignment="1" applyFont="1" applyNumberFormat="1">
      <alignment horizontal="center" readingOrder="0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2">
    <tableStyle count="4" pivot="0" name="Subscrip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Budget Planning 2627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Worth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Overview!$B$29:$C$29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Overview!$D$3:$AQ$3</c:f>
            </c:strRef>
          </c:cat>
          <c:val>
            <c:numRef>
              <c:f>Overview!$D$29:$AQ$29</c:f>
              <c:numCache/>
            </c:numRef>
          </c:val>
        </c:ser>
        <c:axId val="24175152"/>
        <c:axId val="1981415968"/>
      </c:barChart>
      <c:catAx>
        <c:axId val="24175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1415968"/>
      </c:catAx>
      <c:valAx>
        <c:axId val="1981415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751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Net Worth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Overview!$B$5:$C$5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Overview!$D$3:$AQ$3</c:f>
            </c:strRef>
          </c:cat>
          <c:val>
            <c:numRef>
              <c:f>Overview!$D$5:$AQ$5</c:f>
              <c:numCache/>
            </c:numRef>
          </c:val>
        </c:ser>
        <c:ser>
          <c:idx val="1"/>
          <c:order val="1"/>
          <c:tx>
            <c:strRef>
              <c:f>Overview!$B$8:$C$8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Overview!$D$3:$AQ$3</c:f>
            </c:strRef>
          </c:cat>
          <c:val>
            <c:numRef>
              <c:f>Overview!$D$8:$AQ$8</c:f>
              <c:numCache/>
            </c:numRef>
          </c:val>
        </c:ser>
        <c:ser>
          <c:idx val="2"/>
          <c:order val="2"/>
          <c:tx>
            <c:strRef>
              <c:f>Overview!$B$11:$C$11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Overview!$D$3:$AQ$3</c:f>
            </c:strRef>
          </c:cat>
          <c:val>
            <c:numRef>
              <c:f>Overview!$D$11:$AQ$11</c:f>
              <c:numCache/>
            </c:numRef>
          </c:val>
        </c:ser>
        <c:ser>
          <c:idx val="3"/>
          <c:order val="3"/>
          <c:tx>
            <c:strRef>
              <c:f>Overview!$B$15:$C$15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Overview!$D$3:$AQ$3</c:f>
            </c:strRef>
          </c:cat>
          <c:val>
            <c:numRef>
              <c:f>Overview!$D$15:$AQ$15</c:f>
              <c:numCache/>
            </c:numRef>
          </c:val>
        </c:ser>
        <c:ser>
          <c:idx val="4"/>
          <c:order val="4"/>
          <c:tx>
            <c:strRef>
              <c:f>Overview!$B$18:$C$18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Overview!$D$3:$AQ$3</c:f>
            </c:strRef>
          </c:cat>
          <c:val>
            <c:numRef>
              <c:f>Overview!$D$18:$AQ$18</c:f>
              <c:numCache/>
            </c:numRef>
          </c:val>
        </c:ser>
        <c:overlap val="100"/>
        <c:axId val="1537892715"/>
        <c:axId val="902277641"/>
      </c:barChart>
      <c:catAx>
        <c:axId val="1537892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2277641"/>
      </c:catAx>
      <c:valAx>
        <c:axId val="9022776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78927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cat>
            <c:strRef>
              <c:f>'Home Equity'!$I$10:$I$15</c:f>
            </c:strRef>
          </c:cat>
          <c:val>
            <c:numRef>
              <c:f>'Home Equity'!$J$10:$J$15</c:f>
              <c:numCache/>
            </c:numRef>
          </c:val>
        </c:ser>
        <c:axId val="1128268330"/>
        <c:axId val="811395287"/>
      </c:barChart>
      <c:catAx>
        <c:axId val="1128268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1395287"/>
      </c:catAx>
      <c:valAx>
        <c:axId val="81139528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2683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923925</xdr:colOff>
      <xdr:row>32</xdr:row>
      <xdr:rowOff>0</xdr:rowOff>
    </xdr:from>
    <xdr:ext cx="6629400" cy="40957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304800</xdr:colOff>
      <xdr:row>53</xdr:row>
      <xdr:rowOff>161925</xdr:rowOff>
    </xdr:from>
    <xdr:ext cx="6629400" cy="4095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15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8" displayName="Subscriptions" name="Subscriptions" id="1">
  <tableColumns count="5">
    <tableColumn name="Name" id="1"/>
    <tableColumn name="Monthly Cost" id="2"/>
    <tableColumn name="Annual Cost" id="3"/>
    <tableColumn name="Category" id="4"/>
    <tableColumn name="Renewal Date" id="5"/>
  </tableColumns>
  <tableStyleInfo name="Subscription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F12" displayName="Financial_Commitments_26_27" name="Financial_Commitments_26_27" id="2">
  <tableColumns count="6">
    <tableColumn totalsRowLabel="Total" name="Category" id="1"/>
    <tableColumn totalsRowFunction="custom" name="Amount" id="2"/>
    <tableColumn name="Type" id="3"/>
    <tableColumn name="Priority" id="4"/>
    <tableColumn name="Timing" id="5"/>
    <tableColumn name="Notes" id="6"/>
  </tableColumns>
  <tableStyleInfo name="Budget Planning 262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 outlineLevelRow="2"/>
  <cols>
    <col customWidth="1" min="1" max="1" width="2.13"/>
    <col customWidth="1" min="2" max="2" width="8.63"/>
    <col customWidth="1" min="3" max="3" width="30.0"/>
    <col customWidth="1" min="4" max="5" width="8.13"/>
    <col customWidth="1" min="6" max="6" width="8.0"/>
    <col customWidth="1" min="7" max="7" width="8.38"/>
    <col customWidth="1" min="8" max="8" width="8.13"/>
    <col customWidth="1" min="9" max="9" width="7.63"/>
    <col customWidth="1" min="10" max="10" width="8.38"/>
    <col customWidth="1" min="11" max="11" width="8.25"/>
    <col customWidth="1" min="12" max="12" width="8.0"/>
    <col customWidth="1" min="13" max="13" width="8.38"/>
    <col customWidth="1" min="14" max="14" width="8.5"/>
    <col customWidth="1" min="15" max="15" width="8.0"/>
    <col customWidth="1" min="16" max="17" width="8.13"/>
    <col customWidth="1" min="18" max="18" width="8.0"/>
    <col customWidth="1" min="19" max="19" width="8.38"/>
    <col customWidth="1" min="20" max="20" width="8.13"/>
    <col customWidth="1" min="21" max="21" width="7.63"/>
    <col customWidth="1" min="22" max="22" width="8.38"/>
    <col customWidth="1" min="23" max="23" width="8.25"/>
    <col customWidth="1" min="24" max="24" width="8.0"/>
    <col customWidth="1" min="25" max="25" width="8.38"/>
    <col customWidth="1" min="26" max="26" width="8.25"/>
    <col customWidth="1" min="27" max="27" width="8.0"/>
    <col customWidth="1" min="28" max="43" width="8.13"/>
    <col customWidth="1" min="45" max="45" width="17.5"/>
  </cols>
  <sheetData>
    <row r="2">
      <c r="AD2" s="1" t="s">
        <v>0</v>
      </c>
    </row>
    <row r="3">
      <c r="A3" s="2"/>
      <c r="B3" s="2"/>
      <c r="D3" s="3">
        <v>44958.0</v>
      </c>
      <c r="E3" s="4">
        <v>44986.0</v>
      </c>
      <c r="F3" s="4">
        <v>45017.0</v>
      </c>
      <c r="G3" s="4">
        <v>45047.0</v>
      </c>
      <c r="H3" s="4">
        <v>45078.0</v>
      </c>
      <c r="I3" s="4">
        <v>45108.0</v>
      </c>
      <c r="J3" s="4">
        <v>45139.0</v>
      </c>
      <c r="K3" s="4">
        <v>45170.0</v>
      </c>
      <c r="L3" s="4">
        <v>45200.0</v>
      </c>
      <c r="M3" s="4">
        <v>45231.0</v>
      </c>
      <c r="N3" s="4">
        <v>45261.0</v>
      </c>
      <c r="O3" s="4">
        <v>45292.0</v>
      </c>
      <c r="P3" s="4">
        <v>45323.0</v>
      </c>
      <c r="Q3" s="4">
        <v>45352.0</v>
      </c>
      <c r="R3" s="4">
        <v>45383.0</v>
      </c>
      <c r="S3" s="4">
        <v>45413.0</v>
      </c>
      <c r="T3" s="4">
        <v>45444.0</v>
      </c>
      <c r="U3" s="4">
        <v>45474.0</v>
      </c>
      <c r="V3" s="4">
        <v>45505.0</v>
      </c>
      <c r="W3" s="4">
        <v>45536.0</v>
      </c>
      <c r="X3" s="4">
        <v>45566.0</v>
      </c>
      <c r="Y3" s="4">
        <v>45597.0</v>
      </c>
      <c r="Z3" s="4">
        <v>45627.0</v>
      </c>
      <c r="AA3" s="4">
        <v>45658.0</v>
      </c>
      <c r="AB3" s="4">
        <v>45689.0</v>
      </c>
      <c r="AC3" s="4">
        <v>45717.0</v>
      </c>
      <c r="AD3" s="4">
        <v>45748.0</v>
      </c>
      <c r="AE3" s="4">
        <v>45778.0</v>
      </c>
      <c r="AF3" s="4">
        <v>45809.0</v>
      </c>
      <c r="AG3" s="4">
        <v>45839.0</v>
      </c>
      <c r="AH3" s="4">
        <v>45870.0</v>
      </c>
      <c r="AI3" s="4">
        <v>45901.0</v>
      </c>
      <c r="AJ3" s="4">
        <v>45931.0</v>
      </c>
      <c r="AK3" s="4">
        <v>45962.0</v>
      </c>
      <c r="AL3" s="4">
        <v>45992.0</v>
      </c>
      <c r="AM3" s="4">
        <v>46023.0</v>
      </c>
      <c r="AN3" s="4">
        <v>46054.0</v>
      </c>
      <c r="AO3" s="4">
        <v>46082.0</v>
      </c>
      <c r="AP3" s="4">
        <v>46113.0</v>
      </c>
      <c r="AQ3" s="5">
        <v>46143.0</v>
      </c>
      <c r="AS3" s="6" t="s">
        <v>1</v>
      </c>
      <c r="AT3" s="7"/>
    </row>
    <row r="4">
      <c r="A4" s="6"/>
      <c r="B4" s="8" t="s">
        <v>2</v>
      </c>
      <c r="C4" s="9" t="s">
        <v>3</v>
      </c>
      <c r="D4" s="10">
        <f t="shared" ref="D4:AQ4" si="1">SUM(D18+D15+D11+D8+D5)</f>
        <v>68929</v>
      </c>
      <c r="E4" s="11">
        <f t="shared" si="1"/>
        <v>73057</v>
      </c>
      <c r="F4" s="11">
        <f t="shared" si="1"/>
        <v>76257</v>
      </c>
      <c r="G4" s="11">
        <f t="shared" si="1"/>
        <v>79570</v>
      </c>
      <c r="H4" s="11">
        <f t="shared" si="1"/>
        <v>82677</v>
      </c>
      <c r="I4" s="11">
        <f t="shared" si="1"/>
        <v>86281</v>
      </c>
      <c r="J4" s="11">
        <f t="shared" si="1"/>
        <v>88606</v>
      </c>
      <c r="K4" s="11">
        <f t="shared" si="1"/>
        <v>121082</v>
      </c>
      <c r="L4" s="11">
        <f t="shared" si="1"/>
        <v>121976</v>
      </c>
      <c r="M4" s="11">
        <f t="shared" si="1"/>
        <v>128103</v>
      </c>
      <c r="N4" s="11">
        <f t="shared" si="1"/>
        <v>139188</v>
      </c>
      <c r="O4" s="11">
        <f t="shared" si="1"/>
        <v>132727</v>
      </c>
      <c r="P4" s="11">
        <f t="shared" si="1"/>
        <v>138441</v>
      </c>
      <c r="Q4" s="11">
        <f t="shared" si="1"/>
        <v>140260</v>
      </c>
      <c r="R4" s="11">
        <f t="shared" si="1"/>
        <v>143894</v>
      </c>
      <c r="S4" s="11">
        <f t="shared" si="1"/>
        <v>146910</v>
      </c>
      <c r="T4" s="11">
        <f t="shared" si="1"/>
        <v>160526</v>
      </c>
      <c r="U4" s="11">
        <f t="shared" si="1"/>
        <v>167495</v>
      </c>
      <c r="V4" s="11">
        <f t="shared" si="1"/>
        <v>167980</v>
      </c>
      <c r="W4" s="11">
        <f t="shared" si="1"/>
        <v>182148</v>
      </c>
      <c r="X4" s="11">
        <f t="shared" si="1"/>
        <v>188177</v>
      </c>
      <c r="Y4" s="11">
        <f t="shared" si="1"/>
        <v>201319</v>
      </c>
      <c r="Z4" s="11">
        <f t="shared" si="1"/>
        <v>210455</v>
      </c>
      <c r="AA4" s="11">
        <f t="shared" si="1"/>
        <v>202070</v>
      </c>
      <c r="AB4" s="11">
        <f t="shared" si="1"/>
        <v>209839</v>
      </c>
      <c r="AC4" s="11">
        <f t="shared" si="1"/>
        <v>231564</v>
      </c>
      <c r="AD4" s="11">
        <f t="shared" si="1"/>
        <v>208794</v>
      </c>
      <c r="AE4" s="11">
        <f t="shared" si="1"/>
        <v>231793</v>
      </c>
      <c r="AF4" s="11">
        <f t="shared" si="1"/>
        <v>308438</v>
      </c>
      <c r="AG4" s="11">
        <f t="shared" si="1"/>
        <v>314526</v>
      </c>
      <c r="AH4" s="11">
        <f t="shared" si="1"/>
        <v>321378</v>
      </c>
      <c r="AI4" s="11">
        <f t="shared" si="1"/>
        <v>382167</v>
      </c>
      <c r="AJ4" s="11">
        <f t="shared" si="1"/>
        <v>396139</v>
      </c>
      <c r="AK4" s="11">
        <f t="shared" si="1"/>
        <v>406188</v>
      </c>
      <c r="AL4" s="11">
        <f t="shared" si="1"/>
        <v>422344</v>
      </c>
      <c r="AM4" s="11">
        <f t="shared" si="1"/>
        <v>418223</v>
      </c>
      <c r="AN4" s="11">
        <f t="shared" si="1"/>
        <v>0</v>
      </c>
      <c r="AO4" s="11">
        <f t="shared" si="1"/>
        <v>0</v>
      </c>
      <c r="AP4" s="11">
        <f t="shared" si="1"/>
        <v>0</v>
      </c>
      <c r="AQ4" s="12">
        <f t="shared" si="1"/>
        <v>0</v>
      </c>
      <c r="AS4" s="13">
        <v>45261.0</v>
      </c>
      <c r="AT4" s="14">
        <v>450000.0</v>
      </c>
    </row>
    <row r="5" outlineLevel="1">
      <c r="A5" s="6"/>
      <c r="B5" s="15"/>
      <c r="C5" s="16" t="s">
        <v>4</v>
      </c>
      <c r="D5" s="17">
        <f t="shared" ref="D5:AQ5" si="2">SUM(D6+D7)</f>
        <v>2000</v>
      </c>
      <c r="E5" s="17">
        <f t="shared" si="2"/>
        <v>3300</v>
      </c>
      <c r="F5" s="17">
        <f t="shared" si="2"/>
        <v>1631</v>
      </c>
      <c r="G5" s="17">
        <f t="shared" si="2"/>
        <v>2436</v>
      </c>
      <c r="H5" s="17">
        <f t="shared" si="2"/>
        <v>1700</v>
      </c>
      <c r="I5" s="17">
        <f t="shared" si="2"/>
        <v>2000</v>
      </c>
      <c r="J5" s="17">
        <f t="shared" si="2"/>
        <v>1800</v>
      </c>
      <c r="K5" s="17">
        <f t="shared" si="2"/>
        <v>28100</v>
      </c>
      <c r="L5" s="17">
        <f t="shared" si="2"/>
        <v>26900</v>
      </c>
      <c r="M5" s="17">
        <f t="shared" si="2"/>
        <v>31200</v>
      </c>
      <c r="N5" s="17">
        <f t="shared" si="2"/>
        <v>38500</v>
      </c>
      <c r="O5" s="17">
        <f t="shared" si="2"/>
        <v>5300</v>
      </c>
      <c r="P5" s="17">
        <f t="shared" si="2"/>
        <v>3600</v>
      </c>
      <c r="Q5" s="17">
        <f t="shared" si="2"/>
        <v>500</v>
      </c>
      <c r="R5" s="17">
        <f t="shared" si="2"/>
        <v>1000</v>
      </c>
      <c r="S5" s="17">
        <f t="shared" si="2"/>
        <v>1500</v>
      </c>
      <c r="T5" s="17">
        <f t="shared" si="2"/>
        <v>900</v>
      </c>
      <c r="U5" s="17">
        <f t="shared" si="2"/>
        <v>0</v>
      </c>
      <c r="V5" s="17">
        <f t="shared" si="2"/>
        <v>10000</v>
      </c>
      <c r="W5" s="17">
        <f t="shared" si="2"/>
        <v>8000</v>
      </c>
      <c r="X5" s="17">
        <f t="shared" si="2"/>
        <v>6000</v>
      </c>
      <c r="Y5" s="17">
        <f t="shared" si="2"/>
        <v>8000</v>
      </c>
      <c r="Z5" s="17">
        <f t="shared" si="2"/>
        <v>30000</v>
      </c>
      <c r="AA5" s="17">
        <f t="shared" si="2"/>
        <v>20000</v>
      </c>
      <c r="AB5" s="17">
        <f t="shared" si="2"/>
        <v>15000</v>
      </c>
      <c r="AC5" s="17">
        <f t="shared" si="2"/>
        <v>8000</v>
      </c>
      <c r="AD5" s="17">
        <f t="shared" si="2"/>
        <v>2000</v>
      </c>
      <c r="AE5" s="17">
        <f t="shared" si="2"/>
        <v>1000</v>
      </c>
      <c r="AF5" s="17">
        <f t="shared" si="2"/>
        <v>0</v>
      </c>
      <c r="AG5" s="17">
        <f t="shared" si="2"/>
        <v>0</v>
      </c>
      <c r="AH5" s="17">
        <f t="shared" si="2"/>
        <v>0</v>
      </c>
      <c r="AI5" s="17">
        <f t="shared" si="2"/>
        <v>40000</v>
      </c>
      <c r="AJ5" s="17">
        <f t="shared" si="2"/>
        <v>40000</v>
      </c>
      <c r="AK5" s="17">
        <f t="shared" si="2"/>
        <v>10000</v>
      </c>
      <c r="AL5" s="17">
        <f t="shared" si="2"/>
        <v>0</v>
      </c>
      <c r="AM5" s="17">
        <f t="shared" si="2"/>
        <v>0</v>
      </c>
      <c r="AN5" s="17">
        <f t="shared" si="2"/>
        <v>0</v>
      </c>
      <c r="AO5" s="17">
        <f t="shared" si="2"/>
        <v>0</v>
      </c>
      <c r="AP5" s="17">
        <f t="shared" si="2"/>
        <v>0</v>
      </c>
      <c r="AQ5" s="18">
        <f t="shared" si="2"/>
        <v>0</v>
      </c>
    </row>
    <row r="6" outlineLevel="2">
      <c r="A6" s="6"/>
      <c r="B6" s="15"/>
      <c r="C6" s="19" t="s">
        <v>5</v>
      </c>
      <c r="D6" s="20">
        <v>2000.0</v>
      </c>
      <c r="E6" s="20">
        <v>3000.0</v>
      </c>
      <c r="F6" s="20">
        <v>1031.0</v>
      </c>
      <c r="G6" s="20">
        <v>1536.0</v>
      </c>
      <c r="H6" s="20">
        <v>500.0</v>
      </c>
      <c r="I6" s="20">
        <v>500.0</v>
      </c>
      <c r="J6" s="20">
        <v>0.0</v>
      </c>
      <c r="K6" s="20">
        <v>26000.0</v>
      </c>
      <c r="L6" s="20">
        <v>24500.0</v>
      </c>
      <c r="M6" s="20">
        <v>28500.0</v>
      </c>
      <c r="N6" s="20">
        <v>35500.0</v>
      </c>
      <c r="O6" s="20">
        <v>2000.0</v>
      </c>
      <c r="P6" s="20">
        <v>0.0</v>
      </c>
      <c r="Q6" s="20">
        <v>500.0</v>
      </c>
      <c r="R6" s="20">
        <v>1000.0</v>
      </c>
      <c r="S6" s="20">
        <v>1500.0</v>
      </c>
      <c r="T6" s="20">
        <v>900.0</v>
      </c>
      <c r="U6" s="20">
        <v>0.0</v>
      </c>
      <c r="V6" s="20">
        <v>10000.0</v>
      </c>
      <c r="W6" s="20">
        <v>8000.0</v>
      </c>
      <c r="X6" s="20">
        <v>6000.0</v>
      </c>
      <c r="Y6" s="20">
        <v>8000.0</v>
      </c>
      <c r="Z6" s="20">
        <v>30000.0</v>
      </c>
      <c r="AA6" s="20">
        <v>20000.0</v>
      </c>
      <c r="AB6" s="20">
        <v>15000.0</v>
      </c>
      <c r="AC6" s="20">
        <v>8000.0</v>
      </c>
      <c r="AD6" s="20">
        <v>2000.0</v>
      </c>
      <c r="AE6" s="20">
        <v>1000.0</v>
      </c>
      <c r="AF6" s="20">
        <v>0.0</v>
      </c>
      <c r="AG6" s="20">
        <v>0.0</v>
      </c>
      <c r="AH6" s="20">
        <v>0.0</v>
      </c>
      <c r="AI6" s="20">
        <v>40000.0</v>
      </c>
      <c r="AJ6" s="20">
        <v>40000.0</v>
      </c>
      <c r="AK6" s="20">
        <v>10000.0</v>
      </c>
      <c r="AL6" s="20">
        <v>0.0</v>
      </c>
      <c r="AM6" s="20">
        <v>0.0</v>
      </c>
      <c r="AN6" s="20"/>
      <c r="AO6" s="20"/>
      <c r="AP6" s="20"/>
      <c r="AQ6" s="21"/>
    </row>
    <row r="7" outlineLevel="2">
      <c r="A7" s="6"/>
      <c r="B7" s="15"/>
      <c r="C7" s="19" t="s">
        <v>6</v>
      </c>
      <c r="D7" s="20">
        <v>0.0</v>
      </c>
      <c r="E7" s="20">
        <v>300.0</v>
      </c>
      <c r="F7" s="20">
        <v>600.0</v>
      </c>
      <c r="G7" s="20">
        <v>900.0</v>
      </c>
      <c r="H7" s="20">
        <v>1200.0</v>
      </c>
      <c r="I7" s="20">
        <v>1500.0</v>
      </c>
      <c r="J7" s="20">
        <v>1800.0</v>
      </c>
      <c r="K7" s="20">
        <v>2100.0</v>
      </c>
      <c r="L7" s="20">
        <v>2400.0</v>
      </c>
      <c r="M7" s="20">
        <v>2700.0</v>
      </c>
      <c r="N7" s="20">
        <v>3000.0</v>
      </c>
      <c r="O7" s="20">
        <v>3300.0</v>
      </c>
      <c r="P7" s="20">
        <v>3600.0</v>
      </c>
      <c r="Q7" s="20">
        <v>0.0</v>
      </c>
      <c r="R7" s="20">
        <v>0.0</v>
      </c>
      <c r="S7" s="20">
        <v>0.0</v>
      </c>
      <c r="T7" s="20">
        <v>0.0</v>
      </c>
      <c r="U7" s="20">
        <v>0.0</v>
      </c>
      <c r="V7" s="20">
        <v>0.0</v>
      </c>
      <c r="W7" s="20">
        <v>0.0</v>
      </c>
      <c r="X7" s="20">
        <v>0.0</v>
      </c>
      <c r="Y7" s="20">
        <v>0.0</v>
      </c>
      <c r="Z7" s="20">
        <v>0.0</v>
      </c>
      <c r="AA7" s="20">
        <v>0.0</v>
      </c>
      <c r="AB7" s="20">
        <v>0.0</v>
      </c>
      <c r="AC7" s="20">
        <v>0.0</v>
      </c>
      <c r="AD7" s="20">
        <v>0.0</v>
      </c>
      <c r="AE7" s="20">
        <v>0.0</v>
      </c>
      <c r="AF7" s="20">
        <v>0.0</v>
      </c>
      <c r="AG7" s="20">
        <v>0.0</v>
      </c>
      <c r="AH7" s="20">
        <v>0.0</v>
      </c>
      <c r="AI7" s="20">
        <v>0.0</v>
      </c>
      <c r="AJ7" s="20">
        <v>0.0</v>
      </c>
      <c r="AK7" s="20">
        <v>0.0</v>
      </c>
      <c r="AL7" s="20">
        <v>0.0</v>
      </c>
      <c r="AM7" s="20">
        <v>0.0</v>
      </c>
      <c r="AN7" s="20"/>
      <c r="AO7" s="20"/>
      <c r="AP7" s="20"/>
      <c r="AQ7" s="21"/>
    </row>
    <row r="8" outlineLevel="1">
      <c r="A8" s="6"/>
      <c r="B8" s="15"/>
      <c r="C8" s="16" t="s">
        <v>7</v>
      </c>
      <c r="D8" s="17">
        <f t="shared" ref="D8:AQ8" si="3">SUM(D9:D10)</f>
        <v>36775</v>
      </c>
      <c r="E8" s="17">
        <f t="shared" si="3"/>
        <v>37834</v>
      </c>
      <c r="F8" s="17">
        <f t="shared" si="3"/>
        <v>41923</v>
      </c>
      <c r="G8" s="17">
        <f t="shared" si="3"/>
        <v>42538</v>
      </c>
      <c r="H8" s="17">
        <f t="shared" si="3"/>
        <v>43786</v>
      </c>
      <c r="I8" s="17">
        <f t="shared" si="3"/>
        <v>45529</v>
      </c>
      <c r="J8" s="17">
        <f t="shared" si="3"/>
        <v>46212</v>
      </c>
      <c r="K8" s="17">
        <f t="shared" si="3"/>
        <v>50025</v>
      </c>
      <c r="L8" s="17">
        <f t="shared" si="3"/>
        <v>50781</v>
      </c>
      <c r="M8" s="17">
        <f t="shared" si="3"/>
        <v>51783</v>
      </c>
      <c r="N8" s="17">
        <f t="shared" si="3"/>
        <v>52258</v>
      </c>
      <c r="O8" s="17">
        <f t="shared" si="3"/>
        <v>28844</v>
      </c>
      <c r="P8" s="17">
        <f t="shared" si="3"/>
        <v>31154</v>
      </c>
      <c r="Q8" s="17">
        <f t="shared" si="3"/>
        <v>32303</v>
      </c>
      <c r="R8" s="17">
        <f t="shared" si="3"/>
        <v>33220</v>
      </c>
      <c r="S8" s="17">
        <f t="shared" si="3"/>
        <v>33722</v>
      </c>
      <c r="T8" s="17">
        <f t="shared" si="3"/>
        <v>34644</v>
      </c>
      <c r="U8" s="17">
        <f t="shared" si="3"/>
        <v>35920</v>
      </c>
      <c r="V8" s="17">
        <f t="shared" si="3"/>
        <v>36734</v>
      </c>
      <c r="W8" s="17">
        <f t="shared" si="3"/>
        <v>35850</v>
      </c>
      <c r="X8" s="17">
        <f t="shared" si="3"/>
        <v>38573</v>
      </c>
      <c r="Y8" s="17">
        <f t="shared" si="3"/>
        <v>41178</v>
      </c>
      <c r="Z8" s="17">
        <f t="shared" si="3"/>
        <v>42962</v>
      </c>
      <c r="AA8" s="17">
        <f t="shared" si="3"/>
        <v>43358</v>
      </c>
      <c r="AB8" s="17">
        <f t="shared" si="3"/>
        <v>51298</v>
      </c>
      <c r="AC8" s="17">
        <f t="shared" si="3"/>
        <v>47688</v>
      </c>
      <c r="AD8" s="17">
        <f t="shared" si="3"/>
        <v>46390</v>
      </c>
      <c r="AE8" s="17">
        <f t="shared" si="3"/>
        <v>54067</v>
      </c>
      <c r="AF8" s="17">
        <f t="shared" si="3"/>
        <v>58120</v>
      </c>
      <c r="AG8" s="17">
        <f t="shared" si="3"/>
        <v>59691</v>
      </c>
      <c r="AH8" s="17">
        <f t="shared" si="3"/>
        <v>61259</v>
      </c>
      <c r="AI8" s="17">
        <f t="shared" si="3"/>
        <v>77751</v>
      </c>
      <c r="AJ8" s="17">
        <f t="shared" si="3"/>
        <v>80262</v>
      </c>
      <c r="AK8" s="17">
        <f t="shared" si="3"/>
        <v>84774</v>
      </c>
      <c r="AL8" s="17">
        <f t="shared" si="3"/>
        <v>86427</v>
      </c>
      <c r="AM8" s="17">
        <f t="shared" si="3"/>
        <v>84949</v>
      </c>
      <c r="AN8" s="17">
        <f t="shared" si="3"/>
        <v>0</v>
      </c>
      <c r="AO8" s="17">
        <f t="shared" si="3"/>
        <v>0</v>
      </c>
      <c r="AP8" s="17">
        <f t="shared" si="3"/>
        <v>0</v>
      </c>
      <c r="AQ8" s="18">
        <f t="shared" si="3"/>
        <v>0</v>
      </c>
    </row>
    <row r="9" outlineLevel="2">
      <c r="A9" s="6"/>
      <c r="B9" s="15"/>
      <c r="C9" s="19" t="s">
        <v>8</v>
      </c>
      <c r="D9" s="20">
        <v>15000.0</v>
      </c>
      <c r="E9" s="20">
        <v>15000.0</v>
      </c>
      <c r="F9" s="20">
        <v>19214.0</v>
      </c>
      <c r="G9" s="20">
        <v>19214.0</v>
      </c>
      <c r="H9" s="20">
        <v>19214.0</v>
      </c>
      <c r="I9" s="20">
        <v>20278.0</v>
      </c>
      <c r="J9" s="20">
        <v>20278.0</v>
      </c>
      <c r="K9" s="20">
        <v>24278.0</v>
      </c>
      <c r="L9" s="20">
        <v>25390.0</v>
      </c>
      <c r="M9" s="20">
        <v>25390.0</v>
      </c>
      <c r="N9" s="20">
        <v>25390.0</v>
      </c>
      <c r="O9" s="20">
        <v>0.0</v>
      </c>
      <c r="P9" s="20">
        <v>0.0</v>
      </c>
      <c r="Q9" s="20">
        <v>0.0</v>
      </c>
      <c r="R9" s="20">
        <v>0.0</v>
      </c>
      <c r="S9" s="20">
        <v>0.0</v>
      </c>
      <c r="T9" s="20">
        <v>0.0</v>
      </c>
      <c r="U9" s="20">
        <v>0.0</v>
      </c>
      <c r="V9" s="20">
        <v>0.0</v>
      </c>
      <c r="W9" s="20">
        <v>0.0</v>
      </c>
      <c r="X9" s="20">
        <v>0.0</v>
      </c>
      <c r="Y9" s="20">
        <v>0.0</v>
      </c>
      <c r="Z9" s="20">
        <v>0.0</v>
      </c>
      <c r="AA9" s="20">
        <v>0.0</v>
      </c>
      <c r="AB9" s="20">
        <v>0.0</v>
      </c>
      <c r="AC9" s="20">
        <v>0.0</v>
      </c>
      <c r="AD9" s="20">
        <v>0.0</v>
      </c>
      <c r="AE9" s="20">
        <v>0.0</v>
      </c>
      <c r="AF9" s="20">
        <v>0.0</v>
      </c>
      <c r="AG9" s="20">
        <v>0.0</v>
      </c>
      <c r="AH9" s="20">
        <v>0.0</v>
      </c>
      <c r="AI9" s="20">
        <v>0.0</v>
      </c>
      <c r="AJ9" s="20">
        <v>0.0</v>
      </c>
      <c r="AK9" s="20">
        <v>0.0</v>
      </c>
      <c r="AL9" s="20">
        <v>0.0</v>
      </c>
      <c r="AM9" s="20">
        <v>0.0</v>
      </c>
      <c r="AN9" s="20"/>
      <c r="AO9" s="20"/>
      <c r="AP9" s="20"/>
      <c r="AQ9" s="21"/>
    </row>
    <row r="10" outlineLevel="2">
      <c r="A10" s="6"/>
      <c r="B10" s="15"/>
      <c r="C10" s="19" t="s">
        <v>9</v>
      </c>
      <c r="D10" s="20">
        <v>21775.0</v>
      </c>
      <c r="E10" s="20">
        <v>22834.0</v>
      </c>
      <c r="F10" s="20">
        <v>22709.0</v>
      </c>
      <c r="G10" s="20">
        <v>23324.0</v>
      </c>
      <c r="H10" s="20">
        <v>24572.0</v>
      </c>
      <c r="I10" s="20">
        <v>25251.0</v>
      </c>
      <c r="J10" s="20">
        <v>25934.0</v>
      </c>
      <c r="K10" s="20">
        <v>25747.0</v>
      </c>
      <c r="L10" s="20">
        <v>25391.0</v>
      </c>
      <c r="M10" s="20">
        <v>26393.0</v>
      </c>
      <c r="N10" s="20">
        <v>26868.0</v>
      </c>
      <c r="O10" s="20">
        <v>28844.0</v>
      </c>
      <c r="P10" s="20">
        <v>31154.0</v>
      </c>
      <c r="Q10" s="20">
        <v>32303.0</v>
      </c>
      <c r="R10" s="20">
        <v>33220.0</v>
      </c>
      <c r="S10" s="20">
        <v>33722.0</v>
      </c>
      <c r="T10" s="20">
        <v>34644.0</v>
      </c>
      <c r="U10" s="20">
        <v>35920.0</v>
      </c>
      <c r="V10" s="20">
        <v>36734.0</v>
      </c>
      <c r="W10" s="20">
        <v>35850.0</v>
      </c>
      <c r="X10" s="20">
        <v>38573.0</v>
      </c>
      <c r="Y10" s="20">
        <v>41178.0</v>
      </c>
      <c r="Z10" s="20">
        <v>42962.0</v>
      </c>
      <c r="AA10" s="20">
        <v>43358.0</v>
      </c>
      <c r="AB10" s="20">
        <v>51298.0</v>
      </c>
      <c r="AC10" s="20">
        <v>47688.0</v>
      </c>
      <c r="AD10" s="20">
        <v>46390.0</v>
      </c>
      <c r="AE10" s="20">
        <v>54067.0</v>
      </c>
      <c r="AF10" s="20">
        <v>58120.0</v>
      </c>
      <c r="AG10" s="20">
        <v>59691.0</v>
      </c>
      <c r="AH10" s="20">
        <v>61259.0</v>
      </c>
      <c r="AI10" s="20">
        <v>77751.0</v>
      </c>
      <c r="AJ10" s="20">
        <v>80262.0</v>
      </c>
      <c r="AK10" s="20">
        <v>84774.0</v>
      </c>
      <c r="AL10" s="20">
        <v>86427.0</v>
      </c>
      <c r="AM10" s="20">
        <v>84949.0</v>
      </c>
      <c r="AN10" s="20"/>
      <c r="AO10" s="20"/>
      <c r="AP10" s="20"/>
      <c r="AQ10" s="21"/>
    </row>
    <row r="11" outlineLevel="1">
      <c r="A11" s="6"/>
      <c r="B11" s="15"/>
      <c r="C11" s="16" t="s">
        <v>10</v>
      </c>
      <c r="D11" s="17">
        <f t="shared" ref="D11:AQ11" si="4">SUM(D12:D14)</f>
        <v>30154</v>
      </c>
      <c r="E11" s="17">
        <f t="shared" si="4"/>
        <v>31923</v>
      </c>
      <c r="F11" s="17">
        <f t="shared" si="4"/>
        <v>32703</v>
      </c>
      <c r="G11" s="17">
        <f t="shared" si="4"/>
        <v>34596</v>
      </c>
      <c r="H11" s="17">
        <f t="shared" si="4"/>
        <v>37191</v>
      </c>
      <c r="I11" s="17">
        <f t="shared" si="4"/>
        <v>38752</v>
      </c>
      <c r="J11" s="17">
        <f t="shared" si="4"/>
        <v>40594</v>
      </c>
      <c r="K11" s="17">
        <f t="shared" si="4"/>
        <v>42957</v>
      </c>
      <c r="L11" s="17">
        <f t="shared" si="4"/>
        <v>44295</v>
      </c>
      <c r="M11" s="17">
        <f t="shared" si="4"/>
        <v>45120</v>
      </c>
      <c r="N11" s="17">
        <f t="shared" si="4"/>
        <v>48430</v>
      </c>
      <c r="O11" s="17">
        <f t="shared" si="4"/>
        <v>51724</v>
      </c>
      <c r="P11" s="17">
        <f t="shared" si="4"/>
        <v>56033</v>
      </c>
      <c r="Q11" s="17">
        <f t="shared" si="4"/>
        <v>59187</v>
      </c>
      <c r="R11" s="17">
        <f t="shared" si="4"/>
        <v>60729</v>
      </c>
      <c r="S11" s="17">
        <f t="shared" si="4"/>
        <v>62100</v>
      </c>
      <c r="T11" s="17">
        <f t="shared" si="4"/>
        <v>64702</v>
      </c>
      <c r="U11" s="17">
        <f t="shared" si="4"/>
        <v>68657</v>
      </c>
      <c r="V11" s="17">
        <f t="shared" si="4"/>
        <v>69688</v>
      </c>
      <c r="W11" s="17">
        <f t="shared" si="4"/>
        <v>71039</v>
      </c>
      <c r="X11" s="17">
        <f t="shared" si="4"/>
        <v>75699</v>
      </c>
      <c r="Y11" s="17">
        <f t="shared" si="4"/>
        <v>78529</v>
      </c>
      <c r="Z11" s="17">
        <f t="shared" si="4"/>
        <v>83229</v>
      </c>
      <c r="AA11" s="17">
        <f t="shared" si="4"/>
        <v>83792</v>
      </c>
      <c r="AB11" s="17">
        <f t="shared" si="4"/>
        <v>87793</v>
      </c>
      <c r="AC11" s="17">
        <f t="shared" si="4"/>
        <v>84466</v>
      </c>
      <c r="AD11" s="17">
        <f t="shared" si="4"/>
        <v>78273</v>
      </c>
      <c r="AE11" s="17">
        <f t="shared" si="4"/>
        <v>84938</v>
      </c>
      <c r="AF11" s="17">
        <f t="shared" si="4"/>
        <v>91791</v>
      </c>
      <c r="AG11" s="17">
        <f t="shared" si="4"/>
        <v>95634</v>
      </c>
      <c r="AH11" s="17">
        <f t="shared" si="4"/>
        <v>100251</v>
      </c>
      <c r="AI11" s="17">
        <f t="shared" si="4"/>
        <v>103801</v>
      </c>
      <c r="AJ11" s="17">
        <f t="shared" si="4"/>
        <v>108683</v>
      </c>
      <c r="AK11" s="17">
        <f t="shared" si="4"/>
        <v>116595</v>
      </c>
      <c r="AL11" s="17">
        <f t="shared" si="4"/>
        <v>119622</v>
      </c>
      <c r="AM11" s="17">
        <f t="shared" si="4"/>
        <v>117400</v>
      </c>
      <c r="AN11" s="17">
        <f t="shared" si="4"/>
        <v>0</v>
      </c>
      <c r="AO11" s="17">
        <f t="shared" si="4"/>
        <v>0</v>
      </c>
      <c r="AP11" s="17">
        <f t="shared" si="4"/>
        <v>0</v>
      </c>
      <c r="AQ11" s="18">
        <f t="shared" si="4"/>
        <v>0</v>
      </c>
    </row>
    <row r="12" outlineLevel="2">
      <c r="A12" s="6"/>
      <c r="B12" s="15"/>
      <c r="C12" s="19" t="s">
        <v>11</v>
      </c>
      <c r="D12" s="20">
        <v>9120.0</v>
      </c>
      <c r="E12" s="20">
        <v>10889.0</v>
      </c>
      <c r="F12" s="20">
        <v>12187.0</v>
      </c>
      <c r="G12" s="20">
        <v>13935.0</v>
      </c>
      <c r="H12" s="20">
        <v>16051.0</v>
      </c>
      <c r="I12" s="20">
        <v>17557.0</v>
      </c>
      <c r="J12" s="20">
        <v>19000.0</v>
      </c>
      <c r="K12" s="20">
        <v>21354.0</v>
      </c>
      <c r="L12" s="20">
        <v>22796.0</v>
      </c>
      <c r="M12" s="20">
        <v>24274.0</v>
      </c>
      <c r="N12" s="20">
        <v>26424.0</v>
      </c>
      <c r="O12" s="20">
        <v>28971.0</v>
      </c>
      <c r="P12" s="20">
        <v>56033.0</v>
      </c>
      <c r="Q12" s="20">
        <v>59187.0</v>
      </c>
      <c r="R12" s="20">
        <v>60729.0</v>
      </c>
      <c r="S12" s="20">
        <v>62100.0</v>
      </c>
      <c r="T12" s="20">
        <v>64702.0</v>
      </c>
      <c r="U12" s="20">
        <v>68657.0</v>
      </c>
      <c r="V12" s="20">
        <v>69688.0</v>
      </c>
      <c r="W12" s="20">
        <v>71039.0</v>
      </c>
      <c r="X12" s="20">
        <v>75699.0</v>
      </c>
      <c r="Y12" s="20">
        <v>78529.0</v>
      </c>
      <c r="Z12" s="20">
        <v>83229.0</v>
      </c>
      <c r="AA12" s="20">
        <v>83792.0</v>
      </c>
      <c r="AB12" s="20">
        <v>87793.0</v>
      </c>
      <c r="AC12" s="20">
        <v>84466.0</v>
      </c>
      <c r="AD12" s="20">
        <v>78273.0</v>
      </c>
      <c r="AE12" s="20">
        <v>84938.0</v>
      </c>
      <c r="AF12" s="20">
        <v>91791.0</v>
      </c>
      <c r="AG12" s="20">
        <v>95634.0</v>
      </c>
      <c r="AH12" s="20">
        <v>100251.0</v>
      </c>
      <c r="AI12" s="20">
        <v>103801.0</v>
      </c>
      <c r="AJ12" s="20">
        <v>108683.0</v>
      </c>
      <c r="AK12" s="20">
        <v>116595.0</v>
      </c>
      <c r="AL12" s="20">
        <v>119622.0</v>
      </c>
      <c r="AM12" s="20">
        <v>117400.0</v>
      </c>
      <c r="AN12" s="20"/>
      <c r="AO12" s="20"/>
      <c r="AP12" s="20"/>
      <c r="AQ12" s="21"/>
    </row>
    <row r="13" outlineLevel="2">
      <c r="A13" s="6"/>
      <c r="B13" s="15"/>
      <c r="C13" s="22" t="s">
        <v>12</v>
      </c>
      <c r="D13" s="20">
        <v>6272.0</v>
      </c>
      <c r="E13" s="20">
        <v>6272.0</v>
      </c>
      <c r="F13" s="20">
        <v>6130.0</v>
      </c>
      <c r="G13" s="20">
        <v>6168.0</v>
      </c>
      <c r="H13" s="20">
        <v>6292.0</v>
      </c>
      <c r="I13" s="20">
        <v>6303.0</v>
      </c>
      <c r="J13" s="20">
        <v>6423.0</v>
      </c>
      <c r="K13" s="20">
        <v>6419.0</v>
      </c>
      <c r="L13" s="20">
        <v>6380.0</v>
      </c>
      <c r="M13" s="20">
        <v>6189.0</v>
      </c>
      <c r="N13" s="20">
        <v>6531.0</v>
      </c>
      <c r="O13" s="20">
        <v>6755.0</v>
      </c>
      <c r="P13" s="20">
        <v>0.0</v>
      </c>
      <c r="Q13" s="20">
        <v>0.0</v>
      </c>
      <c r="R13" s="20">
        <v>0.0</v>
      </c>
      <c r="S13" s="20">
        <v>0.0</v>
      </c>
      <c r="T13" s="20">
        <v>0.0</v>
      </c>
      <c r="U13" s="20">
        <v>0.0</v>
      </c>
      <c r="V13" s="20">
        <v>0.0</v>
      </c>
      <c r="W13" s="20">
        <v>0.0</v>
      </c>
      <c r="X13" s="20">
        <v>0.0</v>
      </c>
      <c r="Y13" s="20">
        <v>0.0</v>
      </c>
      <c r="Z13" s="20">
        <v>0.0</v>
      </c>
      <c r="AA13" s="20">
        <v>0.0</v>
      </c>
      <c r="AB13" s="20">
        <v>0.0</v>
      </c>
      <c r="AC13" s="20">
        <v>0.0</v>
      </c>
      <c r="AD13" s="20">
        <v>0.0</v>
      </c>
      <c r="AE13" s="20">
        <v>0.0</v>
      </c>
      <c r="AF13" s="20">
        <v>0.0</v>
      </c>
      <c r="AG13" s="20">
        <v>0.0</v>
      </c>
      <c r="AH13" s="20">
        <v>0.0</v>
      </c>
      <c r="AI13" s="20">
        <v>0.0</v>
      </c>
      <c r="AJ13" s="20">
        <v>0.0</v>
      </c>
      <c r="AK13" s="20">
        <v>0.0</v>
      </c>
      <c r="AL13" s="20">
        <v>0.0</v>
      </c>
      <c r="AM13" s="20">
        <v>0.0</v>
      </c>
      <c r="AN13" s="20"/>
      <c r="AO13" s="20"/>
      <c r="AP13" s="20"/>
      <c r="AQ13" s="21"/>
    </row>
    <row r="14" outlineLevel="2">
      <c r="A14" s="6"/>
      <c r="B14" s="15"/>
      <c r="C14" s="22" t="s">
        <v>13</v>
      </c>
      <c r="D14" s="20">
        <v>14762.0</v>
      </c>
      <c r="E14" s="20">
        <v>14762.0</v>
      </c>
      <c r="F14" s="20">
        <v>14386.0</v>
      </c>
      <c r="G14" s="20">
        <v>14493.0</v>
      </c>
      <c r="H14" s="20">
        <v>14848.0</v>
      </c>
      <c r="I14" s="20">
        <v>14892.0</v>
      </c>
      <c r="J14" s="20">
        <v>15171.0</v>
      </c>
      <c r="K14" s="20">
        <v>15184.0</v>
      </c>
      <c r="L14" s="20">
        <v>15119.0</v>
      </c>
      <c r="M14" s="20">
        <v>14657.0</v>
      </c>
      <c r="N14" s="20">
        <v>15475.0</v>
      </c>
      <c r="O14" s="20">
        <v>15998.0</v>
      </c>
      <c r="P14" s="20">
        <v>0.0</v>
      </c>
      <c r="Q14" s="20">
        <v>0.0</v>
      </c>
      <c r="R14" s="20">
        <v>0.0</v>
      </c>
      <c r="S14" s="20">
        <v>0.0</v>
      </c>
      <c r="T14" s="20">
        <v>0.0</v>
      </c>
      <c r="U14" s="20">
        <v>0.0</v>
      </c>
      <c r="V14" s="20">
        <v>0.0</v>
      </c>
      <c r="W14" s="20">
        <v>0.0</v>
      </c>
      <c r="X14" s="20">
        <v>0.0</v>
      </c>
      <c r="Y14" s="20">
        <v>0.0</v>
      </c>
      <c r="Z14" s="20">
        <v>0.0</v>
      </c>
      <c r="AA14" s="20">
        <v>0.0</v>
      </c>
      <c r="AB14" s="20">
        <v>0.0</v>
      </c>
      <c r="AC14" s="20">
        <v>0.0</v>
      </c>
      <c r="AD14" s="20">
        <v>0.0</v>
      </c>
      <c r="AE14" s="20">
        <v>0.0</v>
      </c>
      <c r="AF14" s="20">
        <v>0.0</v>
      </c>
      <c r="AG14" s="20">
        <v>0.0</v>
      </c>
      <c r="AH14" s="20">
        <v>0.0</v>
      </c>
      <c r="AI14" s="20">
        <v>0.0</v>
      </c>
      <c r="AJ14" s="20">
        <v>0.0</v>
      </c>
      <c r="AK14" s="20">
        <v>0.0</v>
      </c>
      <c r="AL14" s="20">
        <v>0.0</v>
      </c>
      <c r="AM14" s="20">
        <v>0.0</v>
      </c>
      <c r="AN14" s="20"/>
      <c r="AO14" s="20"/>
      <c r="AP14" s="20"/>
      <c r="AQ14" s="21"/>
    </row>
    <row r="15" outlineLevel="1">
      <c r="A15" s="6"/>
      <c r="B15" s="15"/>
      <c r="C15" s="16" t="s">
        <v>14</v>
      </c>
      <c r="D15" s="17">
        <f>sum(D20)</f>
        <v>0</v>
      </c>
      <c r="E15" s="17">
        <f t="shared" ref="E15:S15" si="5">sum(E17)</f>
        <v>0</v>
      </c>
      <c r="F15" s="17">
        <f t="shared" si="5"/>
        <v>0</v>
      </c>
      <c r="G15" s="17">
        <f t="shared" si="5"/>
        <v>0</v>
      </c>
      <c r="H15" s="17">
        <f t="shared" si="5"/>
        <v>0</v>
      </c>
      <c r="I15" s="17">
        <f t="shared" si="5"/>
        <v>0</v>
      </c>
      <c r="J15" s="17">
        <f t="shared" si="5"/>
        <v>0</v>
      </c>
      <c r="K15" s="17">
        <f t="shared" si="5"/>
        <v>0</v>
      </c>
      <c r="L15" s="17">
        <f t="shared" si="5"/>
        <v>0</v>
      </c>
      <c r="M15" s="17">
        <f t="shared" si="5"/>
        <v>0</v>
      </c>
      <c r="N15" s="17">
        <f t="shared" si="5"/>
        <v>0</v>
      </c>
      <c r="O15" s="17">
        <f t="shared" si="5"/>
        <v>0</v>
      </c>
      <c r="P15" s="17">
        <f t="shared" si="5"/>
        <v>0</v>
      </c>
      <c r="Q15" s="17">
        <f t="shared" si="5"/>
        <v>0</v>
      </c>
      <c r="R15" s="17">
        <f t="shared" si="5"/>
        <v>0</v>
      </c>
      <c r="S15" s="17">
        <f t="shared" si="5"/>
        <v>0</v>
      </c>
      <c r="T15" s="17">
        <f t="shared" ref="T15:AQ15" si="6">sum(T17+T16)</f>
        <v>10000</v>
      </c>
      <c r="U15" s="17">
        <f t="shared" si="6"/>
        <v>12000</v>
      </c>
      <c r="V15" s="17">
        <f t="shared" si="6"/>
        <v>0</v>
      </c>
      <c r="W15" s="17">
        <f t="shared" si="6"/>
        <v>15000</v>
      </c>
      <c r="X15" s="17">
        <f t="shared" si="6"/>
        <v>15000</v>
      </c>
      <c r="Y15" s="17">
        <f t="shared" si="6"/>
        <v>20000</v>
      </c>
      <c r="Z15" s="17">
        <f t="shared" si="6"/>
        <v>0</v>
      </c>
      <c r="AA15" s="17">
        <f t="shared" si="6"/>
        <v>0</v>
      </c>
      <c r="AB15" s="17">
        <f t="shared" si="6"/>
        <v>0</v>
      </c>
      <c r="AC15" s="17">
        <f t="shared" si="6"/>
        <v>35000</v>
      </c>
      <c r="AD15" s="17">
        <f t="shared" si="6"/>
        <v>25000</v>
      </c>
      <c r="AE15" s="17">
        <f t="shared" si="6"/>
        <v>35000</v>
      </c>
      <c r="AF15" s="17">
        <f t="shared" si="6"/>
        <v>100000</v>
      </c>
      <c r="AG15" s="17">
        <f t="shared" si="6"/>
        <v>100000</v>
      </c>
      <c r="AH15" s="17">
        <f t="shared" si="6"/>
        <v>100000</v>
      </c>
      <c r="AI15" s="17">
        <f t="shared" si="6"/>
        <v>100000</v>
      </c>
      <c r="AJ15" s="17">
        <f t="shared" si="6"/>
        <v>105913</v>
      </c>
      <c r="AK15" s="17">
        <f t="shared" si="6"/>
        <v>132789</v>
      </c>
      <c r="AL15" s="17">
        <f t="shared" si="6"/>
        <v>152871</v>
      </c>
      <c r="AM15" s="17">
        <f t="shared" si="6"/>
        <v>151588</v>
      </c>
      <c r="AN15" s="17">
        <f t="shared" si="6"/>
        <v>0</v>
      </c>
      <c r="AO15" s="17">
        <f t="shared" si="6"/>
        <v>0</v>
      </c>
      <c r="AP15" s="17">
        <f t="shared" si="6"/>
        <v>0</v>
      </c>
      <c r="AQ15" s="18">
        <f t="shared" si="6"/>
        <v>0</v>
      </c>
    </row>
    <row r="16" outlineLevel="2">
      <c r="A16" s="6"/>
      <c r="B16" s="15"/>
      <c r="C16" s="22" t="s">
        <v>15</v>
      </c>
      <c r="D16" s="20">
        <v>0.0</v>
      </c>
      <c r="E16" s="20">
        <v>0.0</v>
      </c>
      <c r="F16" s="20">
        <v>0.0</v>
      </c>
      <c r="G16" s="20">
        <v>0.0</v>
      </c>
      <c r="H16" s="20">
        <v>0.0</v>
      </c>
      <c r="I16" s="20">
        <v>0.0</v>
      </c>
      <c r="J16" s="20">
        <v>0.0</v>
      </c>
      <c r="K16" s="20">
        <v>0.0</v>
      </c>
      <c r="L16" s="20">
        <v>0.0</v>
      </c>
      <c r="M16" s="20">
        <v>0.0</v>
      </c>
      <c r="N16" s="20">
        <v>0.0</v>
      </c>
      <c r="O16" s="20">
        <v>0.0</v>
      </c>
      <c r="P16" s="20">
        <v>0.0</v>
      </c>
      <c r="Q16" s="20">
        <v>0.0</v>
      </c>
      <c r="R16" s="20">
        <v>0.0</v>
      </c>
      <c r="S16" s="20">
        <v>0.0</v>
      </c>
      <c r="T16" s="20">
        <v>10000.0</v>
      </c>
      <c r="U16" s="20">
        <v>12000.0</v>
      </c>
      <c r="V16" s="20">
        <v>0.0</v>
      </c>
      <c r="W16" s="20">
        <v>15000.0</v>
      </c>
      <c r="X16" s="20">
        <v>15000.0</v>
      </c>
      <c r="Y16" s="20">
        <v>20000.0</v>
      </c>
      <c r="Z16" s="20">
        <v>0.0</v>
      </c>
      <c r="AA16" s="20">
        <v>0.0</v>
      </c>
      <c r="AB16" s="20">
        <v>0.0</v>
      </c>
      <c r="AC16" s="20">
        <v>35000.0</v>
      </c>
      <c r="AD16" s="20">
        <v>25000.0</v>
      </c>
      <c r="AE16" s="20">
        <v>35000.0</v>
      </c>
      <c r="AF16" s="20">
        <v>100000.0</v>
      </c>
      <c r="AG16" s="20">
        <v>100000.0</v>
      </c>
      <c r="AH16" s="20">
        <v>100000.0</v>
      </c>
      <c r="AI16" s="20">
        <v>70000.0</v>
      </c>
      <c r="AJ16" s="20">
        <v>75000.0</v>
      </c>
      <c r="AK16" s="20">
        <v>90000.0</v>
      </c>
      <c r="AL16" s="20">
        <v>100000.0</v>
      </c>
      <c r="AM16" s="20">
        <v>100000.0</v>
      </c>
      <c r="AN16" s="20"/>
      <c r="AO16" s="20"/>
      <c r="AP16" s="20"/>
      <c r="AQ16" s="21"/>
    </row>
    <row r="17" outlineLevel="2">
      <c r="A17" s="6"/>
      <c r="B17" s="15"/>
      <c r="C17" s="22" t="s">
        <v>16</v>
      </c>
      <c r="D17" s="20">
        <v>0.0</v>
      </c>
      <c r="E17" s="20">
        <v>0.0</v>
      </c>
      <c r="F17" s="20">
        <v>0.0</v>
      </c>
      <c r="G17" s="20">
        <v>0.0</v>
      </c>
      <c r="H17" s="20">
        <v>0.0</v>
      </c>
      <c r="I17" s="20">
        <v>0.0</v>
      </c>
      <c r="J17" s="20">
        <v>0.0</v>
      </c>
      <c r="K17" s="20">
        <v>0.0</v>
      </c>
      <c r="L17" s="20">
        <v>0.0</v>
      </c>
      <c r="M17" s="20">
        <v>0.0</v>
      </c>
      <c r="N17" s="20">
        <v>0.0</v>
      </c>
      <c r="O17" s="20">
        <v>0.0</v>
      </c>
      <c r="P17" s="20">
        <v>0.0</v>
      </c>
      <c r="Q17" s="20">
        <v>0.0</v>
      </c>
      <c r="R17" s="20">
        <v>0.0</v>
      </c>
      <c r="S17" s="20">
        <v>0.0</v>
      </c>
      <c r="T17" s="20">
        <v>0.0</v>
      </c>
      <c r="U17" s="20">
        <v>0.0</v>
      </c>
      <c r="V17" s="20">
        <v>0.0</v>
      </c>
      <c r="W17" s="20">
        <v>0.0</v>
      </c>
      <c r="X17" s="20">
        <v>0.0</v>
      </c>
      <c r="Y17" s="20">
        <v>0.0</v>
      </c>
      <c r="Z17" s="20">
        <v>0.0</v>
      </c>
      <c r="AA17" s="20">
        <v>0.0</v>
      </c>
      <c r="AB17" s="20">
        <v>0.0</v>
      </c>
      <c r="AC17" s="20">
        <v>0.0</v>
      </c>
      <c r="AD17" s="20">
        <v>0.0</v>
      </c>
      <c r="AE17" s="20">
        <v>0.0</v>
      </c>
      <c r="AF17" s="20">
        <v>0.0</v>
      </c>
      <c r="AG17" s="20">
        <v>0.0</v>
      </c>
      <c r="AH17" s="20">
        <v>0.0</v>
      </c>
      <c r="AI17" s="20">
        <v>30000.0</v>
      </c>
      <c r="AJ17" s="20">
        <v>30913.0</v>
      </c>
      <c r="AK17" s="20">
        <v>42789.0</v>
      </c>
      <c r="AL17" s="20">
        <v>52871.0</v>
      </c>
      <c r="AM17" s="20">
        <v>51588.0</v>
      </c>
      <c r="AN17" s="20"/>
      <c r="AO17" s="20"/>
      <c r="AP17" s="20"/>
      <c r="AQ17" s="21"/>
    </row>
    <row r="18" outlineLevel="1">
      <c r="A18" s="6"/>
      <c r="B18" s="15"/>
      <c r="C18" s="16" t="s">
        <v>17</v>
      </c>
      <c r="D18" s="23">
        <f t="shared" ref="D18:AQ18" si="7">sum(D20)</f>
        <v>0</v>
      </c>
      <c r="E18" s="17">
        <f t="shared" si="7"/>
        <v>0</v>
      </c>
      <c r="F18" s="17">
        <f t="shared" si="7"/>
        <v>0</v>
      </c>
      <c r="G18" s="17">
        <f t="shared" si="7"/>
        <v>0</v>
      </c>
      <c r="H18" s="17">
        <f t="shared" si="7"/>
        <v>0</v>
      </c>
      <c r="I18" s="17">
        <f t="shared" si="7"/>
        <v>0</v>
      </c>
      <c r="J18" s="17">
        <f t="shared" si="7"/>
        <v>0</v>
      </c>
      <c r="K18" s="17">
        <f t="shared" si="7"/>
        <v>0</v>
      </c>
      <c r="L18" s="17">
        <f t="shared" si="7"/>
        <v>0</v>
      </c>
      <c r="M18" s="17">
        <f t="shared" si="7"/>
        <v>0</v>
      </c>
      <c r="N18" s="17">
        <f t="shared" si="7"/>
        <v>0</v>
      </c>
      <c r="O18" s="17">
        <f t="shared" si="7"/>
        <v>46859</v>
      </c>
      <c r="P18" s="17">
        <f t="shared" si="7"/>
        <v>47654</v>
      </c>
      <c r="Q18" s="17">
        <f t="shared" si="7"/>
        <v>48270</v>
      </c>
      <c r="R18" s="17">
        <f t="shared" si="7"/>
        <v>48945</v>
      </c>
      <c r="S18" s="17">
        <f t="shared" si="7"/>
        <v>49588</v>
      </c>
      <c r="T18" s="17">
        <f t="shared" si="7"/>
        <v>50280</v>
      </c>
      <c r="U18" s="17">
        <f t="shared" si="7"/>
        <v>50918</v>
      </c>
      <c r="V18" s="17">
        <f t="shared" si="7"/>
        <v>51558</v>
      </c>
      <c r="W18" s="17">
        <f t="shared" si="7"/>
        <v>52259</v>
      </c>
      <c r="X18" s="17">
        <f t="shared" si="7"/>
        <v>52905</v>
      </c>
      <c r="Y18" s="17">
        <f t="shared" si="7"/>
        <v>53612</v>
      </c>
      <c r="Z18" s="17">
        <f t="shared" si="7"/>
        <v>54264</v>
      </c>
      <c r="AA18" s="17">
        <f t="shared" si="7"/>
        <v>54920</v>
      </c>
      <c r="AB18" s="17">
        <f t="shared" si="7"/>
        <v>55748</v>
      </c>
      <c r="AC18" s="17">
        <f t="shared" si="7"/>
        <v>56410</v>
      </c>
      <c r="AD18" s="17">
        <f t="shared" si="7"/>
        <v>57131</v>
      </c>
      <c r="AE18" s="17">
        <f t="shared" si="7"/>
        <v>56788</v>
      </c>
      <c r="AF18" s="17">
        <f t="shared" si="7"/>
        <v>58527</v>
      </c>
      <c r="AG18" s="17">
        <f t="shared" si="7"/>
        <v>59201</v>
      </c>
      <c r="AH18" s="17">
        <f t="shared" si="7"/>
        <v>59868</v>
      </c>
      <c r="AI18" s="17">
        <f t="shared" si="7"/>
        <v>60615</v>
      </c>
      <c r="AJ18" s="17">
        <f t="shared" si="7"/>
        <v>61281</v>
      </c>
      <c r="AK18" s="17">
        <f t="shared" si="7"/>
        <v>62030</v>
      </c>
      <c r="AL18" s="17">
        <f t="shared" si="7"/>
        <v>63424</v>
      </c>
      <c r="AM18" s="17">
        <f t="shared" si="7"/>
        <v>64286</v>
      </c>
      <c r="AN18" s="17">
        <f t="shared" si="7"/>
        <v>0</v>
      </c>
      <c r="AO18" s="17">
        <f t="shared" si="7"/>
        <v>0</v>
      </c>
      <c r="AP18" s="17">
        <f t="shared" si="7"/>
        <v>0</v>
      </c>
      <c r="AQ18" s="18">
        <f t="shared" si="7"/>
        <v>0</v>
      </c>
    </row>
    <row r="19" outlineLevel="2">
      <c r="A19" s="6"/>
      <c r="B19" s="15"/>
      <c r="C19" s="22" t="s">
        <v>18</v>
      </c>
      <c r="D19" s="24">
        <f t="shared" ref="D19:AQ19" si="8">D20/$AT$4</f>
        <v>0</v>
      </c>
      <c r="E19" s="24">
        <f t="shared" si="8"/>
        <v>0</v>
      </c>
      <c r="F19" s="24">
        <f t="shared" si="8"/>
        <v>0</v>
      </c>
      <c r="G19" s="24">
        <f t="shared" si="8"/>
        <v>0</v>
      </c>
      <c r="H19" s="24">
        <f t="shared" si="8"/>
        <v>0</v>
      </c>
      <c r="I19" s="24">
        <f t="shared" si="8"/>
        <v>0</v>
      </c>
      <c r="J19" s="24">
        <f t="shared" si="8"/>
        <v>0</v>
      </c>
      <c r="K19" s="24">
        <f t="shared" si="8"/>
        <v>0</v>
      </c>
      <c r="L19" s="24">
        <f t="shared" si="8"/>
        <v>0</v>
      </c>
      <c r="M19" s="24">
        <f t="shared" si="8"/>
        <v>0</v>
      </c>
      <c r="N19" s="24">
        <f t="shared" si="8"/>
        <v>0</v>
      </c>
      <c r="O19" s="24">
        <f t="shared" si="8"/>
        <v>0.1041311111</v>
      </c>
      <c r="P19" s="24">
        <f t="shared" si="8"/>
        <v>0.1058977778</v>
      </c>
      <c r="Q19" s="24">
        <f t="shared" si="8"/>
        <v>0.1072666667</v>
      </c>
      <c r="R19" s="24">
        <f t="shared" si="8"/>
        <v>0.1087666667</v>
      </c>
      <c r="S19" s="24">
        <f t="shared" si="8"/>
        <v>0.1101955556</v>
      </c>
      <c r="T19" s="24">
        <f t="shared" si="8"/>
        <v>0.1117333333</v>
      </c>
      <c r="U19" s="24">
        <f t="shared" si="8"/>
        <v>0.1131511111</v>
      </c>
      <c r="V19" s="24">
        <f t="shared" si="8"/>
        <v>0.1145733333</v>
      </c>
      <c r="W19" s="24">
        <f t="shared" si="8"/>
        <v>0.1161311111</v>
      </c>
      <c r="X19" s="24">
        <f t="shared" si="8"/>
        <v>0.1175666667</v>
      </c>
      <c r="Y19" s="24">
        <f t="shared" si="8"/>
        <v>0.1191377778</v>
      </c>
      <c r="Z19" s="24">
        <f t="shared" si="8"/>
        <v>0.1205866667</v>
      </c>
      <c r="AA19" s="24">
        <f t="shared" si="8"/>
        <v>0.1220444444</v>
      </c>
      <c r="AB19" s="24">
        <f t="shared" si="8"/>
        <v>0.1238844444</v>
      </c>
      <c r="AC19" s="24">
        <f t="shared" si="8"/>
        <v>0.1253555556</v>
      </c>
      <c r="AD19" s="24">
        <f t="shared" si="8"/>
        <v>0.1269577778</v>
      </c>
      <c r="AE19" s="24">
        <f t="shared" si="8"/>
        <v>0.1261955556</v>
      </c>
      <c r="AF19" s="24">
        <f t="shared" si="8"/>
        <v>0.13006</v>
      </c>
      <c r="AG19" s="24">
        <f t="shared" si="8"/>
        <v>0.1315577778</v>
      </c>
      <c r="AH19" s="24">
        <f t="shared" si="8"/>
        <v>0.13304</v>
      </c>
      <c r="AI19" s="24">
        <f t="shared" si="8"/>
        <v>0.1347</v>
      </c>
      <c r="AJ19" s="24">
        <f t="shared" si="8"/>
        <v>0.13618</v>
      </c>
      <c r="AK19" s="24">
        <f t="shared" si="8"/>
        <v>0.1378444444</v>
      </c>
      <c r="AL19" s="24">
        <f t="shared" si="8"/>
        <v>0.1409422222</v>
      </c>
      <c r="AM19" s="24">
        <f t="shared" si="8"/>
        <v>0.1428577778</v>
      </c>
      <c r="AN19" s="24">
        <f t="shared" si="8"/>
        <v>0</v>
      </c>
      <c r="AO19" s="24">
        <f t="shared" si="8"/>
        <v>0</v>
      </c>
      <c r="AP19" s="24">
        <f t="shared" si="8"/>
        <v>0</v>
      </c>
      <c r="AQ19" s="25">
        <f t="shared" si="8"/>
        <v>0</v>
      </c>
    </row>
    <row r="20" outlineLevel="2">
      <c r="A20" s="6"/>
      <c r="B20" s="26"/>
      <c r="C20" s="22" t="s">
        <v>19</v>
      </c>
      <c r="D20" s="20">
        <v>0.0</v>
      </c>
      <c r="E20" s="20">
        <v>0.0</v>
      </c>
      <c r="F20" s="20">
        <v>0.0</v>
      </c>
      <c r="G20" s="20">
        <v>0.0</v>
      </c>
      <c r="H20" s="20">
        <v>0.0</v>
      </c>
      <c r="I20" s="20">
        <v>0.0</v>
      </c>
      <c r="J20" s="20">
        <v>0.0</v>
      </c>
      <c r="K20" s="20">
        <v>0.0</v>
      </c>
      <c r="L20" s="20">
        <v>0.0</v>
      </c>
      <c r="M20" s="20">
        <v>0.0</v>
      </c>
      <c r="N20" s="20">
        <v>0.0</v>
      </c>
      <c r="O20" s="20">
        <f t="shared" ref="O20:AM20" si="9">$AT$4-O26</f>
        <v>46859</v>
      </c>
      <c r="P20" s="20">
        <f t="shared" si="9"/>
        <v>47654</v>
      </c>
      <c r="Q20" s="20">
        <f t="shared" si="9"/>
        <v>48270</v>
      </c>
      <c r="R20" s="20">
        <f t="shared" si="9"/>
        <v>48945</v>
      </c>
      <c r="S20" s="20">
        <f t="shared" si="9"/>
        <v>49588</v>
      </c>
      <c r="T20" s="20">
        <f t="shared" si="9"/>
        <v>50280</v>
      </c>
      <c r="U20" s="20">
        <f t="shared" si="9"/>
        <v>50918</v>
      </c>
      <c r="V20" s="20">
        <f t="shared" si="9"/>
        <v>51558</v>
      </c>
      <c r="W20" s="20">
        <f t="shared" si="9"/>
        <v>52259</v>
      </c>
      <c r="X20" s="20">
        <f t="shared" si="9"/>
        <v>52905</v>
      </c>
      <c r="Y20" s="20">
        <f t="shared" si="9"/>
        <v>53612</v>
      </c>
      <c r="Z20" s="20">
        <f t="shared" si="9"/>
        <v>54264</v>
      </c>
      <c r="AA20" s="20">
        <f t="shared" si="9"/>
        <v>54920</v>
      </c>
      <c r="AB20" s="20">
        <f t="shared" si="9"/>
        <v>55748</v>
      </c>
      <c r="AC20" s="20">
        <f t="shared" si="9"/>
        <v>56410</v>
      </c>
      <c r="AD20" s="20">
        <f t="shared" si="9"/>
        <v>57131</v>
      </c>
      <c r="AE20" s="20">
        <f t="shared" si="9"/>
        <v>56788</v>
      </c>
      <c r="AF20" s="20">
        <f t="shared" si="9"/>
        <v>58527</v>
      </c>
      <c r="AG20" s="20">
        <f t="shared" si="9"/>
        <v>59201</v>
      </c>
      <c r="AH20" s="20">
        <f t="shared" si="9"/>
        <v>59868</v>
      </c>
      <c r="AI20" s="20">
        <f t="shared" si="9"/>
        <v>60615</v>
      </c>
      <c r="AJ20" s="20">
        <f t="shared" si="9"/>
        <v>61281</v>
      </c>
      <c r="AK20" s="20">
        <f t="shared" si="9"/>
        <v>62030</v>
      </c>
      <c r="AL20" s="20">
        <f t="shared" si="9"/>
        <v>63424</v>
      </c>
      <c r="AM20" s="20">
        <f t="shared" si="9"/>
        <v>64286</v>
      </c>
      <c r="AN20" s="20"/>
      <c r="AO20" s="20"/>
      <c r="AP20" s="20"/>
      <c r="AQ20" s="21"/>
    </row>
    <row r="21">
      <c r="B21" s="27" t="s">
        <v>20</v>
      </c>
      <c r="C21" s="28" t="s">
        <v>21</v>
      </c>
      <c r="D21" s="11">
        <f t="shared" ref="D21:AQ21" si="10">sum(D22+D25)</f>
        <v>0</v>
      </c>
      <c r="E21" s="11">
        <f t="shared" si="10"/>
        <v>0</v>
      </c>
      <c r="F21" s="11">
        <f t="shared" si="10"/>
        <v>0</v>
      </c>
      <c r="G21" s="11">
        <f t="shared" si="10"/>
        <v>0</v>
      </c>
      <c r="H21" s="11">
        <f t="shared" si="10"/>
        <v>0</v>
      </c>
      <c r="I21" s="11">
        <f t="shared" si="10"/>
        <v>0</v>
      </c>
      <c r="J21" s="11">
        <f t="shared" si="10"/>
        <v>0</v>
      </c>
      <c r="K21" s="11">
        <f t="shared" si="10"/>
        <v>0</v>
      </c>
      <c r="L21" s="11">
        <f t="shared" si="10"/>
        <v>0</v>
      </c>
      <c r="M21" s="11">
        <f t="shared" si="10"/>
        <v>0</v>
      </c>
      <c r="N21" s="11">
        <f t="shared" si="10"/>
        <v>0</v>
      </c>
      <c r="O21" s="11">
        <f t="shared" si="10"/>
        <v>403141</v>
      </c>
      <c r="P21" s="11">
        <f t="shared" si="10"/>
        <v>402346</v>
      </c>
      <c r="Q21" s="11">
        <f t="shared" si="10"/>
        <v>401730</v>
      </c>
      <c r="R21" s="11">
        <f t="shared" si="10"/>
        <v>401055</v>
      </c>
      <c r="S21" s="11">
        <f t="shared" si="10"/>
        <v>400412</v>
      </c>
      <c r="T21" s="11">
        <f t="shared" si="10"/>
        <v>399720</v>
      </c>
      <c r="U21" s="11">
        <f t="shared" si="10"/>
        <v>399082</v>
      </c>
      <c r="V21" s="11">
        <f t="shared" si="10"/>
        <v>398442</v>
      </c>
      <c r="W21" s="11">
        <f t="shared" si="10"/>
        <v>397741</v>
      </c>
      <c r="X21" s="11">
        <f t="shared" si="10"/>
        <v>397095</v>
      </c>
      <c r="Y21" s="11">
        <f t="shared" si="10"/>
        <v>396388</v>
      </c>
      <c r="Z21" s="11">
        <f t="shared" si="10"/>
        <v>395736</v>
      </c>
      <c r="AA21" s="11">
        <f t="shared" si="10"/>
        <v>395080</v>
      </c>
      <c r="AB21" s="11">
        <f t="shared" si="10"/>
        <v>394252</v>
      </c>
      <c r="AC21" s="11">
        <f t="shared" si="10"/>
        <v>393590</v>
      </c>
      <c r="AD21" s="11">
        <f t="shared" si="10"/>
        <v>392869</v>
      </c>
      <c r="AE21" s="11">
        <f t="shared" si="10"/>
        <v>393212</v>
      </c>
      <c r="AF21" s="11">
        <f t="shared" si="10"/>
        <v>391473</v>
      </c>
      <c r="AG21" s="11">
        <f t="shared" si="10"/>
        <v>390799</v>
      </c>
      <c r="AH21" s="11">
        <f t="shared" si="10"/>
        <v>390132</v>
      </c>
      <c r="AI21" s="11">
        <f t="shared" si="10"/>
        <v>389385</v>
      </c>
      <c r="AJ21" s="11">
        <f t="shared" si="10"/>
        <v>388719</v>
      </c>
      <c r="AK21" s="11">
        <f t="shared" si="10"/>
        <v>387970</v>
      </c>
      <c r="AL21" s="11">
        <f t="shared" si="10"/>
        <v>386576</v>
      </c>
      <c r="AM21" s="11">
        <f t="shared" si="10"/>
        <v>385714</v>
      </c>
      <c r="AN21" s="11">
        <f t="shared" si="10"/>
        <v>0</v>
      </c>
      <c r="AO21" s="11">
        <f t="shared" si="10"/>
        <v>0</v>
      </c>
      <c r="AP21" s="11">
        <f t="shared" si="10"/>
        <v>0</v>
      </c>
      <c r="AQ21" s="12">
        <f t="shared" si="10"/>
        <v>0</v>
      </c>
    </row>
    <row r="22" outlineLevel="1">
      <c r="B22" s="29"/>
      <c r="C22" s="30" t="s">
        <v>22</v>
      </c>
      <c r="D22" s="17">
        <f t="shared" ref="D22:AQ22" si="11">SUM(D23,D24)</f>
        <v>0</v>
      </c>
      <c r="E22" s="17">
        <f t="shared" si="11"/>
        <v>0</v>
      </c>
      <c r="F22" s="17">
        <f t="shared" si="11"/>
        <v>0</v>
      </c>
      <c r="G22" s="17">
        <f t="shared" si="11"/>
        <v>0</v>
      </c>
      <c r="H22" s="17">
        <f t="shared" si="11"/>
        <v>0</v>
      </c>
      <c r="I22" s="17">
        <f t="shared" si="11"/>
        <v>0</v>
      </c>
      <c r="J22" s="17">
        <f t="shared" si="11"/>
        <v>0</v>
      </c>
      <c r="K22" s="17">
        <f t="shared" si="11"/>
        <v>0</v>
      </c>
      <c r="L22" s="17">
        <f t="shared" si="11"/>
        <v>0</v>
      </c>
      <c r="M22" s="17">
        <f t="shared" si="11"/>
        <v>0</v>
      </c>
      <c r="N22" s="17">
        <f t="shared" si="11"/>
        <v>0</v>
      </c>
      <c r="O22" s="17">
        <f t="shared" si="11"/>
        <v>0</v>
      </c>
      <c r="P22" s="17">
        <f t="shared" si="11"/>
        <v>0</v>
      </c>
      <c r="Q22" s="17">
        <f t="shared" si="11"/>
        <v>0</v>
      </c>
      <c r="R22" s="17">
        <f t="shared" si="11"/>
        <v>0</v>
      </c>
      <c r="S22" s="17">
        <f t="shared" si="11"/>
        <v>0</v>
      </c>
      <c r="T22" s="17">
        <f t="shared" si="11"/>
        <v>0</v>
      </c>
      <c r="U22" s="17">
        <f t="shared" si="11"/>
        <v>0</v>
      </c>
      <c r="V22" s="17">
        <f t="shared" si="11"/>
        <v>0</v>
      </c>
      <c r="W22" s="17">
        <f t="shared" si="11"/>
        <v>0</v>
      </c>
      <c r="X22" s="17">
        <f t="shared" si="11"/>
        <v>0</v>
      </c>
      <c r="Y22" s="17">
        <f t="shared" si="11"/>
        <v>0</v>
      </c>
      <c r="Z22" s="17">
        <f t="shared" si="11"/>
        <v>0</v>
      </c>
      <c r="AA22" s="17">
        <f t="shared" si="11"/>
        <v>0</v>
      </c>
      <c r="AB22" s="17">
        <f t="shared" si="11"/>
        <v>0</v>
      </c>
      <c r="AC22" s="17">
        <f t="shared" si="11"/>
        <v>0</v>
      </c>
      <c r="AD22" s="17">
        <f t="shared" si="11"/>
        <v>0</v>
      </c>
      <c r="AE22" s="17">
        <f t="shared" si="11"/>
        <v>0</v>
      </c>
      <c r="AF22" s="17">
        <f t="shared" si="11"/>
        <v>0</v>
      </c>
      <c r="AG22" s="17">
        <f t="shared" si="11"/>
        <v>0</v>
      </c>
      <c r="AH22" s="17">
        <f t="shared" si="11"/>
        <v>0</v>
      </c>
      <c r="AI22" s="17">
        <f t="shared" si="11"/>
        <v>0</v>
      </c>
      <c r="AJ22" s="17">
        <f t="shared" si="11"/>
        <v>0</v>
      </c>
      <c r="AK22" s="17">
        <f t="shared" si="11"/>
        <v>0</v>
      </c>
      <c r="AL22" s="17">
        <f t="shared" si="11"/>
        <v>0</v>
      </c>
      <c r="AM22" s="17">
        <f t="shared" si="11"/>
        <v>0</v>
      </c>
      <c r="AN22" s="17">
        <f t="shared" si="11"/>
        <v>0</v>
      </c>
      <c r="AO22" s="17">
        <f t="shared" si="11"/>
        <v>0</v>
      </c>
      <c r="AP22" s="17">
        <f t="shared" si="11"/>
        <v>0</v>
      </c>
      <c r="AQ22" s="18">
        <f t="shared" si="11"/>
        <v>0</v>
      </c>
    </row>
    <row r="23" outlineLevel="2">
      <c r="B23" s="29"/>
      <c r="C23" s="31" t="s">
        <v>23</v>
      </c>
      <c r="D23" s="20">
        <v>0.0</v>
      </c>
      <c r="E23" s="20">
        <v>0.0</v>
      </c>
      <c r="F23" s="20">
        <v>0.0</v>
      </c>
      <c r="G23" s="20">
        <v>0.0</v>
      </c>
      <c r="H23" s="20">
        <v>0.0</v>
      </c>
      <c r="I23" s="20">
        <v>0.0</v>
      </c>
      <c r="J23" s="20">
        <v>0.0</v>
      </c>
      <c r="K23" s="20">
        <v>0.0</v>
      </c>
      <c r="L23" s="20">
        <v>0.0</v>
      </c>
      <c r="M23" s="20">
        <v>0.0</v>
      </c>
      <c r="N23" s="20">
        <v>0.0</v>
      </c>
      <c r="O23" s="20">
        <v>0.0</v>
      </c>
      <c r="P23" s="20">
        <v>0.0</v>
      </c>
      <c r="Q23" s="20">
        <v>0.0</v>
      </c>
      <c r="R23" s="20">
        <v>0.0</v>
      </c>
      <c r="S23" s="20">
        <v>0.0</v>
      </c>
      <c r="T23" s="20">
        <v>0.0</v>
      </c>
      <c r="U23" s="20">
        <v>0.0</v>
      </c>
      <c r="V23" s="20">
        <v>0.0</v>
      </c>
      <c r="W23" s="20">
        <v>0.0</v>
      </c>
      <c r="X23" s="20">
        <v>0.0</v>
      </c>
      <c r="Y23" s="20">
        <v>0.0</v>
      </c>
      <c r="Z23" s="20">
        <v>0.0</v>
      </c>
      <c r="AA23" s="20">
        <v>0.0</v>
      </c>
      <c r="AB23" s="20">
        <v>0.0</v>
      </c>
      <c r="AC23" s="20">
        <v>0.0</v>
      </c>
      <c r="AD23" s="20">
        <v>0.0</v>
      </c>
      <c r="AE23" s="20">
        <v>0.0</v>
      </c>
      <c r="AF23" s="20">
        <v>0.0</v>
      </c>
      <c r="AG23" s="20">
        <v>0.0</v>
      </c>
      <c r="AH23" s="20">
        <v>0.0</v>
      </c>
      <c r="AI23" s="20">
        <v>0.0</v>
      </c>
      <c r="AJ23" s="20">
        <v>0.0</v>
      </c>
      <c r="AK23" s="20">
        <v>0.0</v>
      </c>
      <c r="AL23" s="20">
        <v>0.0</v>
      </c>
      <c r="AM23" s="20">
        <v>0.0</v>
      </c>
      <c r="AN23" s="20">
        <v>0.0</v>
      </c>
      <c r="AO23" s="20">
        <v>0.0</v>
      </c>
      <c r="AP23" s="20">
        <v>0.0</v>
      </c>
      <c r="AQ23" s="21">
        <v>0.0</v>
      </c>
    </row>
    <row r="24" outlineLevel="2">
      <c r="B24" s="29"/>
      <c r="C24" s="31" t="s">
        <v>24</v>
      </c>
      <c r="D24" s="20">
        <v>0.0</v>
      </c>
      <c r="E24" s="20">
        <v>0.0</v>
      </c>
      <c r="F24" s="20">
        <v>0.0</v>
      </c>
      <c r="G24" s="20">
        <v>0.0</v>
      </c>
      <c r="H24" s="20">
        <v>0.0</v>
      </c>
      <c r="I24" s="20">
        <v>0.0</v>
      </c>
      <c r="J24" s="20">
        <v>0.0</v>
      </c>
      <c r="K24" s="20">
        <v>0.0</v>
      </c>
      <c r="L24" s="20">
        <v>0.0</v>
      </c>
      <c r="M24" s="20">
        <v>0.0</v>
      </c>
      <c r="N24" s="20">
        <v>0.0</v>
      </c>
      <c r="O24" s="20">
        <v>0.0</v>
      </c>
      <c r="P24" s="20">
        <v>0.0</v>
      </c>
      <c r="Q24" s="20">
        <v>0.0</v>
      </c>
      <c r="R24" s="20">
        <v>0.0</v>
      </c>
      <c r="S24" s="20">
        <v>0.0</v>
      </c>
      <c r="T24" s="20">
        <v>0.0</v>
      </c>
      <c r="U24" s="20">
        <v>0.0</v>
      </c>
      <c r="V24" s="20">
        <v>0.0</v>
      </c>
      <c r="W24" s="20">
        <v>0.0</v>
      </c>
      <c r="X24" s="20">
        <v>0.0</v>
      </c>
      <c r="Y24" s="20">
        <v>0.0</v>
      </c>
      <c r="Z24" s="20">
        <v>0.0</v>
      </c>
      <c r="AA24" s="20">
        <v>0.0</v>
      </c>
      <c r="AB24" s="20">
        <v>0.0</v>
      </c>
      <c r="AC24" s="20">
        <v>0.0</v>
      </c>
      <c r="AD24" s="20">
        <v>0.0</v>
      </c>
      <c r="AE24" s="20">
        <v>0.0</v>
      </c>
      <c r="AF24" s="20">
        <v>0.0</v>
      </c>
      <c r="AG24" s="20">
        <v>0.0</v>
      </c>
      <c r="AH24" s="20">
        <v>0.0</v>
      </c>
      <c r="AI24" s="20">
        <v>0.0</v>
      </c>
      <c r="AJ24" s="20">
        <v>0.0</v>
      </c>
      <c r="AK24" s="20">
        <v>0.0</v>
      </c>
      <c r="AL24" s="20">
        <v>0.0</v>
      </c>
      <c r="AM24" s="20">
        <v>0.0</v>
      </c>
      <c r="AN24" s="20">
        <v>0.0</v>
      </c>
      <c r="AO24" s="20">
        <v>0.0</v>
      </c>
      <c r="AP24" s="20">
        <v>0.0</v>
      </c>
      <c r="AQ24" s="21">
        <v>0.0</v>
      </c>
    </row>
    <row r="25" outlineLevel="1">
      <c r="B25" s="29"/>
      <c r="C25" s="30" t="s">
        <v>25</v>
      </c>
      <c r="D25" s="17">
        <f t="shared" ref="D25:AQ25" si="12">SUM(D26)</f>
        <v>0</v>
      </c>
      <c r="E25" s="17">
        <f t="shared" si="12"/>
        <v>0</v>
      </c>
      <c r="F25" s="17">
        <f t="shared" si="12"/>
        <v>0</v>
      </c>
      <c r="G25" s="17">
        <f t="shared" si="12"/>
        <v>0</v>
      </c>
      <c r="H25" s="17">
        <f t="shared" si="12"/>
        <v>0</v>
      </c>
      <c r="I25" s="17">
        <f t="shared" si="12"/>
        <v>0</v>
      </c>
      <c r="J25" s="17">
        <f t="shared" si="12"/>
        <v>0</v>
      </c>
      <c r="K25" s="17">
        <f t="shared" si="12"/>
        <v>0</v>
      </c>
      <c r="L25" s="17">
        <f t="shared" si="12"/>
        <v>0</v>
      </c>
      <c r="M25" s="17">
        <f t="shared" si="12"/>
        <v>0</v>
      </c>
      <c r="N25" s="17">
        <f t="shared" si="12"/>
        <v>0</v>
      </c>
      <c r="O25" s="17">
        <f t="shared" si="12"/>
        <v>403141</v>
      </c>
      <c r="P25" s="17">
        <f t="shared" si="12"/>
        <v>402346</v>
      </c>
      <c r="Q25" s="17">
        <f t="shared" si="12"/>
        <v>401730</v>
      </c>
      <c r="R25" s="17">
        <f t="shared" si="12"/>
        <v>401055</v>
      </c>
      <c r="S25" s="17">
        <f t="shared" si="12"/>
        <v>400412</v>
      </c>
      <c r="T25" s="17">
        <f t="shared" si="12"/>
        <v>399720</v>
      </c>
      <c r="U25" s="17">
        <f t="shared" si="12"/>
        <v>399082</v>
      </c>
      <c r="V25" s="17">
        <f t="shared" si="12"/>
        <v>398442</v>
      </c>
      <c r="W25" s="17">
        <f t="shared" si="12"/>
        <v>397741</v>
      </c>
      <c r="X25" s="17">
        <f t="shared" si="12"/>
        <v>397095</v>
      </c>
      <c r="Y25" s="17">
        <f t="shared" si="12"/>
        <v>396388</v>
      </c>
      <c r="Z25" s="17">
        <f t="shared" si="12"/>
        <v>395736</v>
      </c>
      <c r="AA25" s="17">
        <f t="shared" si="12"/>
        <v>395080</v>
      </c>
      <c r="AB25" s="17">
        <f t="shared" si="12"/>
        <v>394252</v>
      </c>
      <c r="AC25" s="17">
        <f t="shared" si="12"/>
        <v>393590</v>
      </c>
      <c r="AD25" s="17">
        <f t="shared" si="12"/>
        <v>392869</v>
      </c>
      <c r="AE25" s="17">
        <f t="shared" si="12"/>
        <v>393212</v>
      </c>
      <c r="AF25" s="17">
        <f t="shared" si="12"/>
        <v>391473</v>
      </c>
      <c r="AG25" s="17">
        <f t="shared" si="12"/>
        <v>390799</v>
      </c>
      <c r="AH25" s="17">
        <f t="shared" si="12"/>
        <v>390132</v>
      </c>
      <c r="AI25" s="17">
        <f t="shared" si="12"/>
        <v>389385</v>
      </c>
      <c r="AJ25" s="17">
        <f t="shared" si="12"/>
        <v>388719</v>
      </c>
      <c r="AK25" s="17">
        <f t="shared" si="12"/>
        <v>387970</v>
      </c>
      <c r="AL25" s="17">
        <f t="shared" si="12"/>
        <v>386576</v>
      </c>
      <c r="AM25" s="17">
        <f t="shared" si="12"/>
        <v>385714</v>
      </c>
      <c r="AN25" s="17">
        <f t="shared" si="12"/>
        <v>0</v>
      </c>
      <c r="AO25" s="17">
        <f t="shared" si="12"/>
        <v>0</v>
      </c>
      <c r="AP25" s="17">
        <f t="shared" si="12"/>
        <v>0</v>
      </c>
      <c r="AQ25" s="18">
        <f t="shared" si="12"/>
        <v>0</v>
      </c>
    </row>
    <row r="26" outlineLevel="2">
      <c r="B26" s="32"/>
      <c r="C26" s="31" t="s">
        <v>26</v>
      </c>
      <c r="D26" s="20">
        <v>0.0</v>
      </c>
      <c r="E26" s="20">
        <v>0.0</v>
      </c>
      <c r="F26" s="20">
        <v>0.0</v>
      </c>
      <c r="G26" s="20">
        <v>0.0</v>
      </c>
      <c r="H26" s="20">
        <v>0.0</v>
      </c>
      <c r="I26" s="20">
        <v>0.0</v>
      </c>
      <c r="J26" s="20">
        <v>0.0</v>
      </c>
      <c r="K26" s="20">
        <v>0.0</v>
      </c>
      <c r="L26" s="20">
        <v>0.0</v>
      </c>
      <c r="M26" s="20">
        <v>0.0</v>
      </c>
      <c r="N26" s="20">
        <v>0.0</v>
      </c>
      <c r="O26" s="20">
        <v>403141.0</v>
      </c>
      <c r="P26" s="20">
        <v>402346.0</v>
      </c>
      <c r="Q26" s="20">
        <v>401730.0</v>
      </c>
      <c r="R26" s="20">
        <v>401055.0</v>
      </c>
      <c r="S26" s="20">
        <v>400412.0</v>
      </c>
      <c r="T26" s="20">
        <v>399720.0</v>
      </c>
      <c r="U26" s="20">
        <v>399082.0</v>
      </c>
      <c r="V26" s="20">
        <v>398442.0</v>
      </c>
      <c r="W26" s="20">
        <v>397741.0</v>
      </c>
      <c r="X26" s="20">
        <v>397095.0</v>
      </c>
      <c r="Y26" s="20">
        <v>396388.0</v>
      </c>
      <c r="Z26" s="20">
        <v>395736.0</v>
      </c>
      <c r="AA26" s="20">
        <v>395080.0</v>
      </c>
      <c r="AB26" s="20">
        <v>394252.0</v>
      </c>
      <c r="AC26" s="20">
        <v>393590.0</v>
      </c>
      <c r="AD26" s="20">
        <v>392869.0</v>
      </c>
      <c r="AE26" s="20">
        <v>393212.0</v>
      </c>
      <c r="AF26" s="20">
        <v>391473.0</v>
      </c>
      <c r="AG26" s="20">
        <v>390799.0</v>
      </c>
      <c r="AH26" s="20">
        <v>390132.0</v>
      </c>
      <c r="AI26" s="20">
        <v>389385.0</v>
      </c>
      <c r="AJ26" s="20">
        <v>388719.0</v>
      </c>
      <c r="AK26" s="20">
        <v>387970.0</v>
      </c>
      <c r="AL26" s="20">
        <v>386576.0</v>
      </c>
      <c r="AM26" s="20">
        <v>385714.0</v>
      </c>
      <c r="AN26" s="20"/>
      <c r="AO26" s="20"/>
      <c r="AP26" s="20"/>
      <c r="AQ26" s="21"/>
    </row>
    <row r="27">
      <c r="C27" s="33" t="s">
        <v>27</v>
      </c>
      <c r="D27" s="34" t="s">
        <v>28</v>
      </c>
      <c r="E27" s="35">
        <f t="shared" ref="E27:AQ27" si="13">iferror((E29-D29)/D29,"-")</f>
        <v>0.05988771054</v>
      </c>
      <c r="F27" s="35">
        <f t="shared" si="13"/>
        <v>0.04380141533</v>
      </c>
      <c r="G27" s="35">
        <f t="shared" si="13"/>
        <v>0.04344519192</v>
      </c>
      <c r="H27" s="35">
        <f t="shared" si="13"/>
        <v>0.03904737967</v>
      </c>
      <c r="I27" s="35">
        <f t="shared" si="13"/>
        <v>0.04359132528</v>
      </c>
      <c r="J27" s="35">
        <f t="shared" si="13"/>
        <v>0.0269468365</v>
      </c>
      <c r="K27" s="35">
        <f t="shared" si="13"/>
        <v>0.3665214545</v>
      </c>
      <c r="L27" s="35">
        <f t="shared" si="13"/>
        <v>0.007383426108</v>
      </c>
      <c r="M27" s="35">
        <f t="shared" si="13"/>
        <v>0.05023119302</v>
      </c>
      <c r="N27" s="35">
        <f t="shared" si="13"/>
        <v>0.08653193134</v>
      </c>
      <c r="O27" s="35">
        <f t="shared" si="13"/>
        <v>-0.04641923154</v>
      </c>
      <c r="P27" s="35">
        <f t="shared" si="13"/>
        <v>0.04305077339</v>
      </c>
      <c r="Q27" s="35">
        <f t="shared" si="13"/>
        <v>0.0131391712</v>
      </c>
      <c r="R27" s="35">
        <f t="shared" si="13"/>
        <v>0.02590902609</v>
      </c>
      <c r="S27" s="35">
        <f t="shared" si="13"/>
        <v>0.02095987324</v>
      </c>
      <c r="T27" s="35">
        <f t="shared" si="13"/>
        <v>0.09268259479</v>
      </c>
      <c r="U27" s="35">
        <f t="shared" si="13"/>
        <v>0.04341352803</v>
      </c>
      <c r="V27" s="35">
        <f t="shared" si="13"/>
        <v>0.002895608824</v>
      </c>
      <c r="W27" s="35">
        <f t="shared" si="13"/>
        <v>0.08434337421</v>
      </c>
      <c r="X27" s="35">
        <f t="shared" si="13"/>
        <v>0.03309945758</v>
      </c>
      <c r="Y27" s="35">
        <f t="shared" si="13"/>
        <v>0.06983850311</v>
      </c>
      <c r="Z27" s="35">
        <f t="shared" si="13"/>
        <v>0.04538071419</v>
      </c>
      <c r="AA27" s="35">
        <f t="shared" si="13"/>
        <v>-0.03984224656</v>
      </c>
      <c r="AB27" s="35">
        <f t="shared" si="13"/>
        <v>0.0384470728</v>
      </c>
      <c r="AC27" s="35">
        <f t="shared" si="13"/>
        <v>0.1035317553</v>
      </c>
      <c r="AD27" s="35">
        <f t="shared" si="13"/>
        <v>-0.09833134684</v>
      </c>
      <c r="AE27" s="35">
        <f t="shared" si="13"/>
        <v>0.1101516327</v>
      </c>
      <c r="AF27" s="35">
        <f t="shared" si="13"/>
        <v>0.3306614091</v>
      </c>
      <c r="AG27" s="35">
        <f t="shared" si="13"/>
        <v>0.01973816456</v>
      </c>
      <c r="AH27" s="35">
        <f t="shared" si="13"/>
        <v>0.02178516243</v>
      </c>
      <c r="AI27" s="35">
        <f t="shared" si="13"/>
        <v>0.1891510931</v>
      </c>
      <c r="AJ27" s="35">
        <f t="shared" si="13"/>
        <v>0.03655993322</v>
      </c>
      <c r="AK27" s="35">
        <f t="shared" si="13"/>
        <v>0.02536735843</v>
      </c>
      <c r="AL27" s="35">
        <f t="shared" si="13"/>
        <v>0.03977468561</v>
      </c>
      <c r="AM27" s="35">
        <f t="shared" si="13"/>
        <v>-0.009757448904</v>
      </c>
      <c r="AN27" s="35">
        <f t="shared" si="13"/>
        <v>-1</v>
      </c>
      <c r="AO27" s="35" t="str">
        <f t="shared" si="13"/>
        <v>-</v>
      </c>
      <c r="AP27" s="35" t="str">
        <f t="shared" si="13"/>
        <v>-</v>
      </c>
      <c r="AQ27" s="36" t="str">
        <f t="shared" si="13"/>
        <v>-</v>
      </c>
    </row>
    <row r="28">
      <c r="C28" s="37" t="s">
        <v>29</v>
      </c>
      <c r="D28" s="38" t="s">
        <v>28</v>
      </c>
      <c r="E28" s="39">
        <f t="shared" ref="E28:AQ28" si="14">E29-D29</f>
        <v>4128</v>
      </c>
      <c r="F28" s="39">
        <f t="shared" si="14"/>
        <v>3200</v>
      </c>
      <c r="G28" s="39">
        <f t="shared" si="14"/>
        <v>3313</v>
      </c>
      <c r="H28" s="39">
        <f t="shared" si="14"/>
        <v>3107</v>
      </c>
      <c r="I28" s="39">
        <f t="shared" si="14"/>
        <v>3604</v>
      </c>
      <c r="J28" s="39">
        <f t="shared" si="14"/>
        <v>2325</v>
      </c>
      <c r="K28" s="39">
        <f t="shared" si="14"/>
        <v>32476</v>
      </c>
      <c r="L28" s="39">
        <f t="shared" si="14"/>
        <v>894</v>
      </c>
      <c r="M28" s="39">
        <f t="shared" si="14"/>
        <v>6127</v>
      </c>
      <c r="N28" s="39">
        <f t="shared" si="14"/>
        <v>11085</v>
      </c>
      <c r="O28" s="39">
        <f t="shared" si="14"/>
        <v>-6461</v>
      </c>
      <c r="P28" s="39">
        <f t="shared" si="14"/>
        <v>5714</v>
      </c>
      <c r="Q28" s="39">
        <f t="shared" si="14"/>
        <v>1819</v>
      </c>
      <c r="R28" s="39">
        <f t="shared" si="14"/>
        <v>3634</v>
      </c>
      <c r="S28" s="39">
        <f t="shared" si="14"/>
        <v>3016</v>
      </c>
      <c r="T28" s="39">
        <f t="shared" si="14"/>
        <v>13616</v>
      </c>
      <c r="U28" s="39">
        <f t="shared" si="14"/>
        <v>6969</v>
      </c>
      <c r="V28" s="39">
        <f t="shared" si="14"/>
        <v>485</v>
      </c>
      <c r="W28" s="39">
        <f t="shared" si="14"/>
        <v>14168</v>
      </c>
      <c r="X28" s="39">
        <f t="shared" si="14"/>
        <v>6029</v>
      </c>
      <c r="Y28" s="39">
        <f t="shared" si="14"/>
        <v>13142</v>
      </c>
      <c r="Z28" s="39">
        <f t="shared" si="14"/>
        <v>9136</v>
      </c>
      <c r="AA28" s="39">
        <f t="shared" si="14"/>
        <v>-8385</v>
      </c>
      <c r="AB28" s="39">
        <f t="shared" si="14"/>
        <v>7769</v>
      </c>
      <c r="AC28" s="39">
        <f t="shared" si="14"/>
        <v>21725</v>
      </c>
      <c r="AD28" s="39">
        <f t="shared" si="14"/>
        <v>-22770</v>
      </c>
      <c r="AE28" s="39">
        <f t="shared" si="14"/>
        <v>22999</v>
      </c>
      <c r="AF28" s="39">
        <f t="shared" si="14"/>
        <v>76645</v>
      </c>
      <c r="AG28" s="39">
        <f t="shared" si="14"/>
        <v>6088</v>
      </c>
      <c r="AH28" s="39">
        <f t="shared" si="14"/>
        <v>6852</v>
      </c>
      <c r="AI28" s="39">
        <f t="shared" si="14"/>
        <v>60789</v>
      </c>
      <c r="AJ28" s="39">
        <f t="shared" si="14"/>
        <v>13972</v>
      </c>
      <c r="AK28" s="39">
        <f t="shared" si="14"/>
        <v>10049</v>
      </c>
      <c r="AL28" s="39">
        <f t="shared" si="14"/>
        <v>16156</v>
      </c>
      <c r="AM28" s="39">
        <f t="shared" si="14"/>
        <v>-4121</v>
      </c>
      <c r="AN28" s="39">
        <f t="shared" si="14"/>
        <v>-418223</v>
      </c>
      <c r="AO28" s="39">
        <f t="shared" si="14"/>
        <v>0</v>
      </c>
      <c r="AP28" s="39">
        <f t="shared" si="14"/>
        <v>0</v>
      </c>
      <c r="AQ28" s="40">
        <f t="shared" si="14"/>
        <v>0</v>
      </c>
    </row>
    <row r="29">
      <c r="C29" s="41" t="s">
        <v>30</v>
      </c>
      <c r="D29" s="42">
        <f t="shared" ref="D29:N29" si="15">SUM(D5+D8+D11+D15)</f>
        <v>68929</v>
      </c>
      <c r="E29" s="42">
        <f t="shared" si="15"/>
        <v>73057</v>
      </c>
      <c r="F29" s="42">
        <f t="shared" si="15"/>
        <v>76257</v>
      </c>
      <c r="G29" s="42">
        <f t="shared" si="15"/>
        <v>79570</v>
      </c>
      <c r="H29" s="42">
        <f t="shared" si="15"/>
        <v>82677</v>
      </c>
      <c r="I29" s="42">
        <f t="shared" si="15"/>
        <v>86281</v>
      </c>
      <c r="J29" s="42">
        <f t="shared" si="15"/>
        <v>88606</v>
      </c>
      <c r="K29" s="42">
        <f t="shared" si="15"/>
        <v>121082</v>
      </c>
      <c r="L29" s="42">
        <f t="shared" si="15"/>
        <v>121976</v>
      </c>
      <c r="M29" s="42">
        <f t="shared" si="15"/>
        <v>128103</v>
      </c>
      <c r="N29" s="42">
        <f t="shared" si="15"/>
        <v>139188</v>
      </c>
      <c r="O29" s="42">
        <f>SUM(O5+O8+O11+O15+O18)</f>
        <v>132727</v>
      </c>
      <c r="P29" s="42">
        <f t="shared" ref="P29:AQ29" si="16">SUM(P5+P8+P11+P15+P18-P22)</f>
        <v>138441</v>
      </c>
      <c r="Q29" s="42">
        <f t="shared" si="16"/>
        <v>140260</v>
      </c>
      <c r="R29" s="42">
        <f t="shared" si="16"/>
        <v>143894</v>
      </c>
      <c r="S29" s="42">
        <f t="shared" si="16"/>
        <v>146910</v>
      </c>
      <c r="T29" s="42">
        <f t="shared" si="16"/>
        <v>160526</v>
      </c>
      <c r="U29" s="42">
        <f t="shared" si="16"/>
        <v>167495</v>
      </c>
      <c r="V29" s="42">
        <f t="shared" si="16"/>
        <v>167980</v>
      </c>
      <c r="W29" s="42">
        <f t="shared" si="16"/>
        <v>182148</v>
      </c>
      <c r="X29" s="42">
        <f t="shared" si="16"/>
        <v>188177</v>
      </c>
      <c r="Y29" s="42">
        <f t="shared" si="16"/>
        <v>201319</v>
      </c>
      <c r="Z29" s="42">
        <f t="shared" si="16"/>
        <v>210455</v>
      </c>
      <c r="AA29" s="42">
        <f t="shared" si="16"/>
        <v>202070</v>
      </c>
      <c r="AB29" s="42">
        <f t="shared" si="16"/>
        <v>209839</v>
      </c>
      <c r="AC29" s="42">
        <f t="shared" si="16"/>
        <v>231564</v>
      </c>
      <c r="AD29" s="42">
        <f t="shared" si="16"/>
        <v>208794</v>
      </c>
      <c r="AE29" s="42">
        <f t="shared" si="16"/>
        <v>231793</v>
      </c>
      <c r="AF29" s="42">
        <f t="shared" si="16"/>
        <v>308438</v>
      </c>
      <c r="AG29" s="42">
        <f t="shared" si="16"/>
        <v>314526</v>
      </c>
      <c r="AH29" s="42">
        <f t="shared" si="16"/>
        <v>321378</v>
      </c>
      <c r="AI29" s="42">
        <f t="shared" si="16"/>
        <v>382167</v>
      </c>
      <c r="AJ29" s="42">
        <f t="shared" si="16"/>
        <v>396139</v>
      </c>
      <c r="AK29" s="42">
        <f t="shared" si="16"/>
        <v>406188</v>
      </c>
      <c r="AL29" s="42">
        <f t="shared" si="16"/>
        <v>422344</v>
      </c>
      <c r="AM29" s="42">
        <f t="shared" si="16"/>
        <v>418223</v>
      </c>
      <c r="AN29" s="42">
        <f t="shared" si="16"/>
        <v>0</v>
      </c>
      <c r="AO29" s="42">
        <f t="shared" si="16"/>
        <v>0</v>
      </c>
      <c r="AP29" s="42">
        <f t="shared" si="16"/>
        <v>0</v>
      </c>
      <c r="AQ29" s="43">
        <f t="shared" si="16"/>
        <v>0</v>
      </c>
    </row>
    <row r="34">
      <c r="A34" s="2"/>
      <c r="B34" s="2"/>
      <c r="C34" s="2"/>
    </row>
    <row r="35">
      <c r="C35" s="1"/>
    </row>
    <row r="38">
      <c r="C38" s="2"/>
    </row>
  </sheetData>
  <mergeCells count="1">
    <mergeCell ref="B4:B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.0"/>
    <col customWidth="1" min="4" max="4" width="15.63"/>
    <col customWidth="1" min="6" max="6" width="15.63"/>
    <col customWidth="1" min="9" max="9" width="15.5"/>
    <col customWidth="1" min="10" max="10" width="19.38"/>
    <col customWidth="1" min="11" max="11" width="18.25"/>
  </cols>
  <sheetData>
    <row r="1">
      <c r="A1" s="44"/>
      <c r="B1" s="45" t="s">
        <v>31</v>
      </c>
      <c r="C1" s="45" t="s">
        <v>32</v>
      </c>
      <c r="D1" s="45" t="s">
        <v>33</v>
      </c>
      <c r="E1" s="45" t="s">
        <v>34</v>
      </c>
      <c r="F1" s="45" t="s">
        <v>35</v>
      </c>
      <c r="G1" s="45" t="s">
        <v>36</v>
      </c>
      <c r="J1" s="46" t="s">
        <v>37</v>
      </c>
      <c r="K1" s="47">
        <v>449000.0</v>
      </c>
      <c r="M1" s="46" t="s">
        <v>38</v>
      </c>
      <c r="N1" s="47">
        <v>3000.0</v>
      </c>
    </row>
    <row r="2">
      <c r="A2" s="45" t="s">
        <v>39</v>
      </c>
      <c r="B2" s="47">
        <v>2477.27</v>
      </c>
      <c r="C2" s="48">
        <f>K4*K5</f>
        <v>1850.441667</v>
      </c>
      <c r="D2" s="48">
        <f t="shared" ref="D2:D301" si="1">B2-C2</f>
        <v>626.8283333</v>
      </c>
      <c r="E2" s="48">
        <f>(K1-K2)+N1</f>
        <v>403000</v>
      </c>
      <c r="F2" s="48">
        <f>K2</f>
        <v>49000</v>
      </c>
      <c r="G2" s="49">
        <f t="shared" ref="G2:G302" si="2">F2/$K$1</f>
        <v>0.1091314031</v>
      </c>
      <c r="J2" s="46" t="s">
        <v>40</v>
      </c>
      <c r="K2" s="47">
        <v>49000.0</v>
      </c>
    </row>
    <row r="3">
      <c r="A3" s="45" t="s">
        <v>41</v>
      </c>
      <c r="B3" s="47">
        <v>2477.27</v>
      </c>
      <c r="C3" s="48">
        <f t="shared" ref="C3:C301" si="3">$K$5 *E2</f>
        <v>1850.441667</v>
      </c>
      <c r="D3" s="48">
        <f t="shared" si="1"/>
        <v>626.8283333</v>
      </c>
      <c r="E3" s="48">
        <f t="shared" ref="E3:E301" si="4">E2-D2</f>
        <v>402373.1717</v>
      </c>
      <c r="F3" s="48">
        <f t="shared" ref="F3:F301" si="5">F2+D2</f>
        <v>49626.82833</v>
      </c>
      <c r="G3" s="49">
        <f t="shared" si="2"/>
        <v>0.1105274573</v>
      </c>
      <c r="J3" s="46" t="s">
        <v>42</v>
      </c>
      <c r="K3" s="50">
        <v>0.0551</v>
      </c>
    </row>
    <row r="4">
      <c r="A4" s="45" t="s">
        <v>43</v>
      </c>
      <c r="B4" s="47">
        <v>2477.27</v>
      </c>
      <c r="C4" s="48">
        <f t="shared" si="3"/>
        <v>1847.56348</v>
      </c>
      <c r="D4" s="48">
        <f t="shared" si="1"/>
        <v>629.7065201</v>
      </c>
      <c r="E4" s="48">
        <f t="shared" si="4"/>
        <v>401746.3433</v>
      </c>
      <c r="F4" s="48">
        <f t="shared" si="5"/>
        <v>50253.65667</v>
      </c>
      <c r="G4" s="49">
        <f t="shared" si="2"/>
        <v>0.1119235115</v>
      </c>
      <c r="J4" s="46" t="s">
        <v>44</v>
      </c>
      <c r="K4" s="48">
        <f>(K1-K2)+N1</f>
        <v>403000</v>
      </c>
    </row>
    <row r="5">
      <c r="A5" s="45" t="s">
        <v>45</v>
      </c>
      <c r="B5" s="47">
        <v>2477.27</v>
      </c>
      <c r="C5" s="48">
        <f t="shared" si="3"/>
        <v>1844.685293</v>
      </c>
      <c r="D5" s="48">
        <f t="shared" si="1"/>
        <v>632.5847069</v>
      </c>
      <c r="E5" s="48">
        <f t="shared" si="4"/>
        <v>401116.6368</v>
      </c>
      <c r="F5" s="48">
        <f t="shared" si="5"/>
        <v>50883.36319</v>
      </c>
      <c r="G5" s="49">
        <f t="shared" si="2"/>
        <v>0.1133259759</v>
      </c>
      <c r="J5" s="46" t="s">
        <v>46</v>
      </c>
      <c r="K5" s="51">
        <f>K3/12</f>
        <v>0.004591666667</v>
      </c>
    </row>
    <row r="6">
      <c r="A6" s="45" t="s">
        <v>47</v>
      </c>
      <c r="B6" s="47">
        <v>2477.27</v>
      </c>
      <c r="C6" s="48">
        <f t="shared" si="3"/>
        <v>1841.793891</v>
      </c>
      <c r="D6" s="48">
        <f t="shared" si="1"/>
        <v>635.4761093</v>
      </c>
      <c r="E6" s="48">
        <f t="shared" si="4"/>
        <v>400484.0521</v>
      </c>
      <c r="F6" s="48">
        <f t="shared" si="5"/>
        <v>51515.94789</v>
      </c>
      <c r="G6" s="49">
        <f t="shared" si="2"/>
        <v>0.1147348505</v>
      </c>
      <c r="J6" s="52"/>
      <c r="K6" s="52"/>
    </row>
    <row r="7">
      <c r="A7" s="45" t="s">
        <v>48</v>
      </c>
      <c r="B7" s="47">
        <v>2477.27</v>
      </c>
      <c r="C7" s="48">
        <f t="shared" si="3"/>
        <v>1838.889273</v>
      </c>
      <c r="D7" s="48">
        <f t="shared" si="1"/>
        <v>638.3807274</v>
      </c>
      <c r="E7" s="48">
        <f t="shared" si="4"/>
        <v>399848.576</v>
      </c>
      <c r="F7" s="48">
        <f t="shared" si="5"/>
        <v>52151.424</v>
      </c>
      <c r="G7" s="49">
        <f t="shared" si="2"/>
        <v>0.1161501648</v>
      </c>
      <c r="J7" s="52"/>
      <c r="K7" s="52"/>
    </row>
    <row r="8">
      <c r="A8" s="45" t="s">
        <v>49</v>
      </c>
      <c r="B8" s="47">
        <v>2477.27</v>
      </c>
      <c r="C8" s="48">
        <f t="shared" si="3"/>
        <v>1835.971378</v>
      </c>
      <c r="D8" s="48">
        <f t="shared" si="1"/>
        <v>641.2986219</v>
      </c>
      <c r="E8" s="48">
        <f t="shared" si="4"/>
        <v>399210.1953</v>
      </c>
      <c r="F8" s="48">
        <f t="shared" si="5"/>
        <v>52789.80473</v>
      </c>
      <c r="G8" s="49">
        <f t="shared" si="2"/>
        <v>0.1175719482</v>
      </c>
      <c r="I8" s="53"/>
      <c r="J8" s="52"/>
      <c r="K8" s="52"/>
    </row>
    <row r="9">
      <c r="A9" s="45" t="s">
        <v>50</v>
      </c>
      <c r="B9" s="47">
        <v>2477.27</v>
      </c>
      <c r="C9" s="48">
        <f t="shared" si="3"/>
        <v>1833.040147</v>
      </c>
      <c r="D9" s="48">
        <f t="shared" si="1"/>
        <v>644.2298534</v>
      </c>
      <c r="E9" s="48">
        <f t="shared" si="4"/>
        <v>398568.8966</v>
      </c>
      <c r="F9" s="48">
        <f t="shared" si="5"/>
        <v>53431.10335</v>
      </c>
      <c r="G9" s="49">
        <f t="shared" si="2"/>
        <v>0.1190002302</v>
      </c>
      <c r="I9" s="52"/>
      <c r="J9" s="54" t="s">
        <v>51</v>
      </c>
      <c r="K9" s="54" t="s">
        <v>52</v>
      </c>
    </row>
    <row r="10">
      <c r="A10" s="45" t="s">
        <v>53</v>
      </c>
      <c r="B10" s="47">
        <v>2477.27</v>
      </c>
      <c r="C10" s="48">
        <f t="shared" si="3"/>
        <v>1830.095517</v>
      </c>
      <c r="D10" s="48">
        <f t="shared" si="1"/>
        <v>647.1744829</v>
      </c>
      <c r="E10" s="48">
        <f t="shared" si="4"/>
        <v>397924.6668</v>
      </c>
      <c r="F10" s="48">
        <f t="shared" si="5"/>
        <v>54075.33321</v>
      </c>
      <c r="G10" s="49">
        <f t="shared" si="2"/>
        <v>0.1204350405</v>
      </c>
      <c r="I10" s="54" t="s">
        <v>54</v>
      </c>
      <c r="J10" s="55">
        <f>G2</f>
        <v>0.1091314031</v>
      </c>
      <c r="K10" s="48">
        <f t="shared" ref="K10:K15" si="6">J10*$K$1</f>
        <v>49000</v>
      </c>
    </row>
    <row r="11">
      <c r="A11" s="45" t="s">
        <v>55</v>
      </c>
      <c r="B11" s="47">
        <v>2477.27</v>
      </c>
      <c r="C11" s="48">
        <f t="shared" si="3"/>
        <v>1827.137428</v>
      </c>
      <c r="D11" s="48">
        <f t="shared" si="1"/>
        <v>650.1325716</v>
      </c>
      <c r="E11" s="48">
        <f t="shared" si="4"/>
        <v>397277.4923</v>
      </c>
      <c r="F11" s="48">
        <f t="shared" si="5"/>
        <v>54722.50769</v>
      </c>
      <c r="G11" s="49">
        <f t="shared" si="2"/>
        <v>0.1218764091</v>
      </c>
      <c r="I11" s="54" t="s">
        <v>56</v>
      </c>
      <c r="J11" s="55">
        <f>G61</f>
        <v>0.2030077865</v>
      </c>
      <c r="K11" s="48">
        <f t="shared" si="6"/>
        <v>91150.49616</v>
      </c>
    </row>
    <row r="12">
      <c r="A12" s="45" t="s">
        <v>57</v>
      </c>
      <c r="B12" s="47">
        <v>2477.27</v>
      </c>
      <c r="C12" s="48">
        <f t="shared" si="3"/>
        <v>1824.165819</v>
      </c>
      <c r="D12" s="48">
        <f t="shared" si="1"/>
        <v>653.1041811</v>
      </c>
      <c r="E12" s="48">
        <f t="shared" si="4"/>
        <v>396627.3597</v>
      </c>
      <c r="F12" s="48">
        <f t="shared" si="5"/>
        <v>55372.64026</v>
      </c>
      <c r="G12" s="49">
        <f t="shared" si="2"/>
        <v>0.1233243658</v>
      </c>
      <c r="I12" s="54" t="s">
        <v>58</v>
      </c>
      <c r="J12" s="55">
        <f>G121</f>
        <v>0.3282392019</v>
      </c>
      <c r="K12" s="48">
        <f t="shared" si="6"/>
        <v>147379.4017</v>
      </c>
    </row>
    <row r="13">
      <c r="A13" s="45" t="s">
        <v>59</v>
      </c>
      <c r="B13" s="47">
        <v>2477.27</v>
      </c>
      <c r="C13" s="48">
        <f t="shared" si="3"/>
        <v>1821.180627</v>
      </c>
      <c r="D13" s="48">
        <f t="shared" si="1"/>
        <v>656.0893732</v>
      </c>
      <c r="E13" s="48">
        <f t="shared" si="4"/>
        <v>395974.2556</v>
      </c>
      <c r="F13" s="48">
        <f t="shared" si="5"/>
        <v>56025.74444</v>
      </c>
      <c r="G13" s="49">
        <f t="shared" si="2"/>
        <v>0.1247789408</v>
      </c>
      <c r="I13" s="54" t="s">
        <v>60</v>
      </c>
      <c r="J13" s="55">
        <f>G181</f>
        <v>0.4928831042</v>
      </c>
      <c r="K13" s="48">
        <f t="shared" si="6"/>
        <v>221304.5138</v>
      </c>
    </row>
    <row r="14">
      <c r="A14" s="45" t="s">
        <v>61</v>
      </c>
      <c r="B14" s="47">
        <v>2477.27</v>
      </c>
      <c r="C14" s="48">
        <f t="shared" si="3"/>
        <v>1818.18179</v>
      </c>
      <c r="D14" s="48">
        <f t="shared" si="1"/>
        <v>659.0882099</v>
      </c>
      <c r="E14" s="48">
        <f t="shared" si="4"/>
        <v>395318.1662</v>
      </c>
      <c r="F14" s="48">
        <f t="shared" si="5"/>
        <v>56681.83381</v>
      </c>
      <c r="G14" s="49">
        <f t="shared" si="2"/>
        <v>0.1262401644</v>
      </c>
      <c r="I14" s="54" t="s">
        <v>62</v>
      </c>
      <c r="J14" s="55">
        <f>G241</f>
        <v>0.7093432829</v>
      </c>
      <c r="K14" s="48">
        <f t="shared" si="6"/>
        <v>318495.134</v>
      </c>
    </row>
    <row r="15">
      <c r="A15" s="45" t="s">
        <v>63</v>
      </c>
      <c r="B15" s="47">
        <v>2477.27</v>
      </c>
      <c r="C15" s="48">
        <f t="shared" si="3"/>
        <v>1815.169246</v>
      </c>
      <c r="D15" s="48">
        <f t="shared" si="1"/>
        <v>662.1007536</v>
      </c>
      <c r="E15" s="48">
        <f t="shared" si="4"/>
        <v>394659.078</v>
      </c>
      <c r="F15" s="48">
        <f t="shared" si="5"/>
        <v>57340.92202</v>
      </c>
      <c r="G15" s="49">
        <f t="shared" si="2"/>
        <v>0.1277080669</v>
      </c>
      <c r="I15" s="54" t="s">
        <v>64</v>
      </c>
      <c r="J15" s="55">
        <f>G301</f>
        <v>0.9939272143</v>
      </c>
      <c r="K15" s="48">
        <f t="shared" si="6"/>
        <v>446273.3192</v>
      </c>
    </row>
    <row r="16">
      <c r="A16" s="45" t="s">
        <v>65</v>
      </c>
      <c r="B16" s="47">
        <v>2477.27</v>
      </c>
      <c r="C16" s="48">
        <f t="shared" si="3"/>
        <v>1812.142933</v>
      </c>
      <c r="D16" s="48">
        <f t="shared" si="1"/>
        <v>665.127067</v>
      </c>
      <c r="E16" s="48">
        <f t="shared" si="4"/>
        <v>393996.9772</v>
      </c>
      <c r="F16" s="48">
        <f t="shared" si="5"/>
        <v>58003.02278</v>
      </c>
      <c r="G16" s="49">
        <f t="shared" si="2"/>
        <v>0.1291826788</v>
      </c>
    </row>
    <row r="17">
      <c r="A17" s="45" t="s">
        <v>66</v>
      </c>
      <c r="B17" s="47">
        <v>2477.27</v>
      </c>
      <c r="C17" s="48">
        <f t="shared" si="3"/>
        <v>1809.102787</v>
      </c>
      <c r="D17" s="48">
        <f t="shared" si="1"/>
        <v>668.1672129</v>
      </c>
      <c r="E17" s="48">
        <f t="shared" si="4"/>
        <v>393331.8502</v>
      </c>
      <c r="F17" s="48">
        <f t="shared" si="5"/>
        <v>58668.14984</v>
      </c>
      <c r="G17" s="49">
        <f t="shared" si="2"/>
        <v>0.1306640308</v>
      </c>
    </row>
    <row r="18">
      <c r="A18" s="45" t="s">
        <v>67</v>
      </c>
      <c r="B18" s="47">
        <v>2477.27</v>
      </c>
      <c r="C18" s="48">
        <f t="shared" si="3"/>
        <v>1806.048745</v>
      </c>
      <c r="D18" s="48">
        <f t="shared" si="1"/>
        <v>671.2212547</v>
      </c>
      <c r="E18" s="48">
        <f t="shared" si="4"/>
        <v>392663.6829</v>
      </c>
      <c r="F18" s="48">
        <f t="shared" si="5"/>
        <v>59336.31706</v>
      </c>
      <c r="G18" s="49">
        <f t="shared" si="2"/>
        <v>0.1321521538</v>
      </c>
    </row>
    <row r="19">
      <c r="A19" s="45" t="s">
        <v>68</v>
      </c>
      <c r="B19" s="47">
        <v>2477.27</v>
      </c>
      <c r="C19" s="48">
        <f t="shared" si="3"/>
        <v>1802.980744</v>
      </c>
      <c r="D19" s="48">
        <f t="shared" si="1"/>
        <v>674.2892558</v>
      </c>
      <c r="E19" s="48">
        <f t="shared" si="4"/>
        <v>391992.4617</v>
      </c>
      <c r="F19" s="48">
        <f t="shared" si="5"/>
        <v>60007.53831</v>
      </c>
      <c r="G19" s="49">
        <f t="shared" si="2"/>
        <v>0.1336470786</v>
      </c>
    </row>
    <row r="20">
      <c r="A20" s="45" t="s">
        <v>69</v>
      </c>
      <c r="B20" s="47">
        <v>2477.27</v>
      </c>
      <c r="C20" s="48">
        <f t="shared" si="3"/>
        <v>1799.89872</v>
      </c>
      <c r="D20" s="48">
        <f t="shared" si="1"/>
        <v>677.3712801</v>
      </c>
      <c r="E20" s="48">
        <f t="shared" si="4"/>
        <v>391318.1724</v>
      </c>
      <c r="F20" s="48">
        <f t="shared" si="5"/>
        <v>60681.82757</v>
      </c>
      <c r="G20" s="49">
        <f t="shared" si="2"/>
        <v>0.1351488365</v>
      </c>
    </row>
    <row r="21">
      <c r="A21" s="45" t="s">
        <v>70</v>
      </c>
      <c r="B21" s="47">
        <v>2477.27</v>
      </c>
      <c r="C21" s="48">
        <f t="shared" si="3"/>
        <v>1796.802608</v>
      </c>
      <c r="D21" s="48">
        <f t="shared" si="1"/>
        <v>680.4673916</v>
      </c>
      <c r="E21" s="48">
        <f t="shared" si="4"/>
        <v>390640.8012</v>
      </c>
      <c r="F21" s="48">
        <f t="shared" si="5"/>
        <v>61359.19885</v>
      </c>
      <c r="G21" s="49">
        <f t="shared" si="2"/>
        <v>0.1366574585</v>
      </c>
    </row>
    <row r="22">
      <c r="A22" s="45" t="s">
        <v>71</v>
      </c>
      <c r="B22" s="47">
        <v>2477.27</v>
      </c>
      <c r="C22" s="48">
        <f t="shared" si="3"/>
        <v>1793.692345</v>
      </c>
      <c r="D22" s="48">
        <f t="shared" si="1"/>
        <v>683.5776547</v>
      </c>
      <c r="E22" s="48">
        <f t="shared" si="4"/>
        <v>389960.3338</v>
      </c>
      <c r="F22" s="48">
        <f t="shared" si="5"/>
        <v>62039.66624</v>
      </c>
      <c r="G22" s="49">
        <f t="shared" si="2"/>
        <v>0.138172976</v>
      </c>
    </row>
    <row r="23">
      <c r="A23" s="45" t="s">
        <v>72</v>
      </c>
      <c r="B23" s="47">
        <v>2477.27</v>
      </c>
      <c r="C23" s="48">
        <f t="shared" si="3"/>
        <v>1790.567866</v>
      </c>
      <c r="D23" s="48">
        <f t="shared" si="1"/>
        <v>686.7021342</v>
      </c>
      <c r="E23" s="48">
        <f t="shared" si="4"/>
        <v>389276.7561</v>
      </c>
      <c r="F23" s="48">
        <f t="shared" si="5"/>
        <v>62723.24389</v>
      </c>
      <c r="G23" s="49">
        <f t="shared" si="2"/>
        <v>0.1396954207</v>
      </c>
    </row>
    <row r="24">
      <c r="A24" s="45" t="s">
        <v>73</v>
      </c>
      <c r="B24" s="47">
        <v>2477.27</v>
      </c>
      <c r="C24" s="48">
        <f t="shared" si="3"/>
        <v>1787.429105</v>
      </c>
      <c r="D24" s="48">
        <f t="shared" si="1"/>
        <v>689.8408949</v>
      </c>
      <c r="E24" s="48">
        <f t="shared" si="4"/>
        <v>388590.054</v>
      </c>
      <c r="F24" s="48">
        <f t="shared" si="5"/>
        <v>63409.94603</v>
      </c>
      <c r="G24" s="49">
        <f t="shared" si="2"/>
        <v>0.1412248241</v>
      </c>
    </row>
    <row r="25">
      <c r="A25" s="45" t="s">
        <v>74</v>
      </c>
      <c r="B25" s="47">
        <v>2477.27</v>
      </c>
      <c r="C25" s="48">
        <f t="shared" si="3"/>
        <v>1784.275998</v>
      </c>
      <c r="D25" s="48">
        <f t="shared" si="1"/>
        <v>692.9940022</v>
      </c>
      <c r="E25" s="48">
        <f t="shared" si="4"/>
        <v>387900.2131</v>
      </c>
      <c r="F25" s="48">
        <f t="shared" si="5"/>
        <v>64099.78692</v>
      </c>
      <c r="G25" s="49">
        <f t="shared" si="2"/>
        <v>0.1427612181</v>
      </c>
    </row>
    <row r="26">
      <c r="A26" s="45" t="s">
        <v>75</v>
      </c>
      <c r="B26" s="47">
        <v>2477.27</v>
      </c>
      <c r="C26" s="48">
        <f t="shared" si="3"/>
        <v>1781.108478</v>
      </c>
      <c r="D26" s="48">
        <f t="shared" si="1"/>
        <v>696.1615216</v>
      </c>
      <c r="E26" s="48">
        <f t="shared" si="4"/>
        <v>387207.2191</v>
      </c>
      <c r="F26" s="48">
        <f t="shared" si="5"/>
        <v>64792.78093</v>
      </c>
      <c r="G26" s="49">
        <f t="shared" si="2"/>
        <v>0.1443046346</v>
      </c>
    </row>
    <row r="27">
      <c r="A27" s="45" t="s">
        <v>76</v>
      </c>
      <c r="B27" s="47">
        <v>2477.27</v>
      </c>
      <c r="C27" s="48">
        <f t="shared" si="3"/>
        <v>1777.926481</v>
      </c>
      <c r="D27" s="48">
        <f t="shared" si="1"/>
        <v>699.3435191</v>
      </c>
      <c r="E27" s="48">
        <f t="shared" si="4"/>
        <v>386511.0576</v>
      </c>
      <c r="F27" s="48">
        <f t="shared" si="5"/>
        <v>65488.94245</v>
      </c>
      <c r="G27" s="49">
        <f t="shared" si="2"/>
        <v>0.1458551057</v>
      </c>
    </row>
    <row r="28">
      <c r="A28" s="45" t="s">
        <v>77</v>
      </c>
      <c r="B28" s="47">
        <v>2477.27</v>
      </c>
      <c r="C28" s="48">
        <f t="shared" si="3"/>
        <v>1774.729939</v>
      </c>
      <c r="D28" s="48">
        <f t="shared" si="1"/>
        <v>702.5400607</v>
      </c>
      <c r="E28" s="48">
        <f t="shared" si="4"/>
        <v>385811.714</v>
      </c>
      <c r="F28" s="48">
        <f t="shared" si="5"/>
        <v>66188.28597</v>
      </c>
      <c r="G28" s="49">
        <f t="shared" si="2"/>
        <v>0.1474126636</v>
      </c>
    </row>
    <row r="29">
      <c r="A29" s="45" t="s">
        <v>78</v>
      </c>
      <c r="B29" s="47">
        <v>2477.27</v>
      </c>
      <c r="C29" s="48">
        <f t="shared" si="3"/>
        <v>1771.518787</v>
      </c>
      <c r="D29" s="48">
        <f t="shared" si="1"/>
        <v>705.7512131</v>
      </c>
      <c r="E29" s="48">
        <f t="shared" si="4"/>
        <v>385109.174</v>
      </c>
      <c r="F29" s="48">
        <f t="shared" si="5"/>
        <v>66890.82603</v>
      </c>
      <c r="G29" s="49">
        <f t="shared" si="2"/>
        <v>0.1489773408</v>
      </c>
    </row>
    <row r="30">
      <c r="A30" s="45" t="s">
        <v>79</v>
      </c>
      <c r="B30" s="47">
        <v>2477.27</v>
      </c>
      <c r="C30" s="48">
        <f t="shared" si="3"/>
        <v>1768.292957</v>
      </c>
      <c r="D30" s="48">
        <f t="shared" si="1"/>
        <v>708.9770428</v>
      </c>
      <c r="E30" s="48">
        <f t="shared" si="4"/>
        <v>384403.4228</v>
      </c>
      <c r="F30" s="48">
        <f t="shared" si="5"/>
        <v>67596.57724</v>
      </c>
      <c r="G30" s="49">
        <f t="shared" si="2"/>
        <v>0.1505491698</v>
      </c>
    </row>
    <row r="31">
      <c r="A31" s="45" t="s">
        <v>80</v>
      </c>
      <c r="B31" s="47">
        <v>2477.27</v>
      </c>
      <c r="C31" s="48">
        <f t="shared" si="3"/>
        <v>1765.052383</v>
      </c>
      <c r="D31" s="48">
        <f t="shared" si="1"/>
        <v>712.2176172</v>
      </c>
      <c r="E31" s="48">
        <f t="shared" si="4"/>
        <v>383694.4457</v>
      </c>
      <c r="F31" s="48">
        <f t="shared" si="5"/>
        <v>68305.55428</v>
      </c>
      <c r="G31" s="49">
        <f t="shared" si="2"/>
        <v>0.1521281833</v>
      </c>
    </row>
    <row r="32">
      <c r="A32" s="45" t="s">
        <v>81</v>
      </c>
      <c r="B32" s="47">
        <v>2477.27</v>
      </c>
      <c r="C32" s="48">
        <f t="shared" si="3"/>
        <v>1761.796997</v>
      </c>
      <c r="D32" s="48">
        <f t="shared" si="1"/>
        <v>715.4730034</v>
      </c>
      <c r="E32" s="48">
        <f t="shared" si="4"/>
        <v>382982.2281</v>
      </c>
      <c r="F32" s="48">
        <f t="shared" si="5"/>
        <v>69017.7719</v>
      </c>
      <c r="G32" s="49">
        <f t="shared" si="2"/>
        <v>0.153714414</v>
      </c>
    </row>
    <row r="33">
      <c r="A33" s="45" t="s">
        <v>82</v>
      </c>
      <c r="B33" s="47">
        <v>2477.27</v>
      </c>
      <c r="C33" s="48">
        <f t="shared" si="3"/>
        <v>1758.526731</v>
      </c>
      <c r="D33" s="48">
        <f t="shared" si="1"/>
        <v>718.7432693</v>
      </c>
      <c r="E33" s="48">
        <f t="shared" si="4"/>
        <v>382266.7551</v>
      </c>
      <c r="F33" s="48">
        <f t="shared" si="5"/>
        <v>69733.2449</v>
      </c>
      <c r="G33" s="49">
        <f t="shared" si="2"/>
        <v>0.1553078951</v>
      </c>
    </row>
    <row r="34">
      <c r="A34" s="45" t="s">
        <v>83</v>
      </c>
      <c r="B34" s="47">
        <v>2477.27</v>
      </c>
      <c r="C34" s="48">
        <f t="shared" si="3"/>
        <v>1755.241517</v>
      </c>
      <c r="D34" s="48">
        <f t="shared" si="1"/>
        <v>722.0284829</v>
      </c>
      <c r="E34" s="48">
        <f t="shared" si="4"/>
        <v>381548.0118</v>
      </c>
      <c r="F34" s="48">
        <f t="shared" si="5"/>
        <v>70451.98817</v>
      </c>
      <c r="G34" s="49">
        <f t="shared" si="2"/>
        <v>0.1569086596</v>
      </c>
    </row>
    <row r="35">
      <c r="A35" s="45" t="s">
        <v>84</v>
      </c>
      <c r="B35" s="47">
        <v>2477.27</v>
      </c>
      <c r="C35" s="48">
        <f t="shared" si="3"/>
        <v>1751.941288</v>
      </c>
      <c r="D35" s="48">
        <f t="shared" si="1"/>
        <v>725.3287124</v>
      </c>
      <c r="E35" s="48">
        <f t="shared" si="4"/>
        <v>380825.9833</v>
      </c>
      <c r="F35" s="48">
        <f t="shared" si="5"/>
        <v>71174.01666</v>
      </c>
      <c r="G35" s="49">
        <f t="shared" si="2"/>
        <v>0.1585167409</v>
      </c>
    </row>
    <row r="36">
      <c r="A36" s="45" t="s">
        <v>85</v>
      </c>
      <c r="B36" s="47">
        <v>2477.27</v>
      </c>
      <c r="C36" s="48">
        <f t="shared" si="3"/>
        <v>1748.625974</v>
      </c>
      <c r="D36" s="48">
        <f t="shared" si="1"/>
        <v>728.6440265</v>
      </c>
      <c r="E36" s="48">
        <f t="shared" si="4"/>
        <v>380100.6546</v>
      </c>
      <c r="F36" s="48">
        <f t="shared" si="5"/>
        <v>71899.34537</v>
      </c>
      <c r="G36" s="49">
        <f t="shared" si="2"/>
        <v>0.1601321723</v>
      </c>
    </row>
    <row r="37">
      <c r="A37" s="45" t="s">
        <v>86</v>
      </c>
      <c r="B37" s="47">
        <v>2477.27</v>
      </c>
      <c r="C37" s="48">
        <f t="shared" si="3"/>
        <v>1745.295506</v>
      </c>
      <c r="D37" s="48">
        <f t="shared" si="1"/>
        <v>731.9744942</v>
      </c>
      <c r="E37" s="48">
        <f t="shared" si="4"/>
        <v>379372.0106</v>
      </c>
      <c r="F37" s="48">
        <f t="shared" si="5"/>
        <v>72627.98939</v>
      </c>
      <c r="G37" s="49">
        <f t="shared" si="2"/>
        <v>0.1617549875</v>
      </c>
    </row>
    <row r="38">
      <c r="A38" s="45" t="s">
        <v>87</v>
      </c>
      <c r="B38" s="47">
        <v>2477.27</v>
      </c>
      <c r="C38" s="48">
        <f t="shared" si="3"/>
        <v>1741.949815</v>
      </c>
      <c r="D38" s="48">
        <f t="shared" si="1"/>
        <v>735.3201846</v>
      </c>
      <c r="E38" s="48">
        <f t="shared" si="4"/>
        <v>378640.0361</v>
      </c>
      <c r="F38" s="48">
        <f t="shared" si="5"/>
        <v>73359.96389</v>
      </c>
      <c r="G38" s="49">
        <f t="shared" si="2"/>
        <v>0.1633852202</v>
      </c>
    </row>
    <row r="39">
      <c r="A39" s="45" t="s">
        <v>88</v>
      </c>
      <c r="B39" s="47">
        <v>2477.27</v>
      </c>
      <c r="C39" s="48">
        <f t="shared" si="3"/>
        <v>1738.588832</v>
      </c>
      <c r="D39" s="48">
        <f t="shared" si="1"/>
        <v>738.6811675</v>
      </c>
      <c r="E39" s="48">
        <f t="shared" si="4"/>
        <v>377904.7159</v>
      </c>
      <c r="F39" s="48">
        <f t="shared" si="5"/>
        <v>74095.28407</v>
      </c>
      <c r="G39" s="49">
        <f t="shared" si="2"/>
        <v>0.1650229044</v>
      </c>
    </row>
    <row r="40">
      <c r="A40" s="45" t="s">
        <v>89</v>
      </c>
      <c r="B40" s="47">
        <v>2477.27</v>
      </c>
      <c r="C40" s="48">
        <f t="shared" si="3"/>
        <v>1735.212487</v>
      </c>
      <c r="D40" s="48">
        <f t="shared" si="1"/>
        <v>742.0575127</v>
      </c>
      <c r="E40" s="48">
        <f t="shared" si="4"/>
        <v>377166.0348</v>
      </c>
      <c r="F40" s="48">
        <f t="shared" si="5"/>
        <v>74833.96524</v>
      </c>
      <c r="G40" s="49">
        <f t="shared" si="2"/>
        <v>0.166668074</v>
      </c>
    </row>
    <row r="41">
      <c r="A41" s="45" t="s">
        <v>90</v>
      </c>
      <c r="B41" s="47">
        <v>2477.27</v>
      </c>
      <c r="C41" s="48">
        <f t="shared" si="3"/>
        <v>1731.82071</v>
      </c>
      <c r="D41" s="48">
        <f t="shared" si="1"/>
        <v>745.4492904</v>
      </c>
      <c r="E41" s="48">
        <f t="shared" si="4"/>
        <v>376423.9772</v>
      </c>
      <c r="F41" s="48">
        <f t="shared" si="5"/>
        <v>75576.02275</v>
      </c>
      <c r="G41" s="49">
        <f t="shared" si="2"/>
        <v>0.1683207634</v>
      </c>
    </row>
    <row r="42">
      <c r="A42" s="45" t="s">
        <v>91</v>
      </c>
      <c r="B42" s="47">
        <v>2477.27</v>
      </c>
      <c r="C42" s="48">
        <f t="shared" si="3"/>
        <v>1728.413429</v>
      </c>
      <c r="D42" s="48">
        <f t="shared" si="1"/>
        <v>748.8565711</v>
      </c>
      <c r="E42" s="48">
        <f t="shared" si="4"/>
        <v>375678.528</v>
      </c>
      <c r="F42" s="48">
        <f t="shared" si="5"/>
        <v>76321.47204</v>
      </c>
      <c r="G42" s="49">
        <f t="shared" si="2"/>
        <v>0.1699810068</v>
      </c>
    </row>
    <row r="43">
      <c r="A43" s="45" t="s">
        <v>92</v>
      </c>
      <c r="B43" s="47">
        <v>2477.27</v>
      </c>
      <c r="C43" s="48">
        <f t="shared" si="3"/>
        <v>1724.990574</v>
      </c>
      <c r="D43" s="48">
        <f t="shared" si="1"/>
        <v>752.2794258</v>
      </c>
      <c r="E43" s="48">
        <f t="shared" si="4"/>
        <v>374929.6714</v>
      </c>
      <c r="F43" s="48">
        <f t="shared" si="5"/>
        <v>77070.32862</v>
      </c>
      <c r="G43" s="49">
        <f t="shared" si="2"/>
        <v>0.1716488388</v>
      </c>
    </row>
    <row r="44">
      <c r="A44" s="45" t="s">
        <v>93</v>
      </c>
      <c r="B44" s="47">
        <v>2477.27</v>
      </c>
      <c r="C44" s="48">
        <f t="shared" si="3"/>
        <v>1721.552074</v>
      </c>
      <c r="D44" s="48">
        <f t="shared" si="1"/>
        <v>755.7179256</v>
      </c>
      <c r="E44" s="48">
        <f t="shared" si="4"/>
        <v>374177.392</v>
      </c>
      <c r="F44" s="48">
        <f t="shared" si="5"/>
        <v>77822.60804</v>
      </c>
      <c r="G44" s="49">
        <f t="shared" si="2"/>
        <v>0.1733242941</v>
      </c>
    </row>
    <row r="45">
      <c r="A45" s="45" t="s">
        <v>94</v>
      </c>
      <c r="B45" s="47">
        <v>2477.27</v>
      </c>
      <c r="C45" s="48">
        <f t="shared" si="3"/>
        <v>1718.097858</v>
      </c>
      <c r="D45" s="48">
        <f t="shared" si="1"/>
        <v>759.1721419</v>
      </c>
      <c r="E45" s="48">
        <f t="shared" si="4"/>
        <v>373421.674</v>
      </c>
      <c r="F45" s="48">
        <f t="shared" si="5"/>
        <v>78578.32597</v>
      </c>
      <c r="G45" s="49">
        <f t="shared" si="2"/>
        <v>0.1750074075</v>
      </c>
    </row>
    <row r="46">
      <c r="A46" s="45" t="s">
        <v>95</v>
      </c>
      <c r="B46" s="47">
        <v>2477.27</v>
      </c>
      <c r="C46" s="48">
        <f t="shared" si="3"/>
        <v>1714.627853</v>
      </c>
      <c r="D46" s="48">
        <f t="shared" si="1"/>
        <v>762.6421467</v>
      </c>
      <c r="E46" s="48">
        <f t="shared" si="4"/>
        <v>372662.5019</v>
      </c>
      <c r="F46" s="48">
        <f t="shared" si="5"/>
        <v>79337.49811</v>
      </c>
      <c r="G46" s="49">
        <f t="shared" si="2"/>
        <v>0.1766982141</v>
      </c>
    </row>
    <row r="47">
      <c r="A47" s="45" t="s">
        <v>96</v>
      </c>
      <c r="B47" s="47">
        <v>2477.27</v>
      </c>
      <c r="C47" s="48">
        <f t="shared" si="3"/>
        <v>1711.141988</v>
      </c>
      <c r="D47" s="48">
        <f t="shared" si="1"/>
        <v>766.1280121</v>
      </c>
      <c r="E47" s="48">
        <f t="shared" si="4"/>
        <v>371899.8597</v>
      </c>
      <c r="F47" s="48">
        <f t="shared" si="5"/>
        <v>80100.14026</v>
      </c>
      <c r="G47" s="49">
        <f t="shared" si="2"/>
        <v>0.1783967489</v>
      </c>
    </row>
    <row r="48">
      <c r="A48" s="45" t="s">
        <v>97</v>
      </c>
      <c r="B48" s="47">
        <v>2477.27</v>
      </c>
      <c r="C48" s="48">
        <f t="shared" si="3"/>
        <v>1707.640189</v>
      </c>
      <c r="D48" s="48">
        <f t="shared" si="1"/>
        <v>769.6298107</v>
      </c>
      <c r="E48" s="48">
        <f t="shared" si="4"/>
        <v>371133.7317</v>
      </c>
      <c r="F48" s="48">
        <f t="shared" si="5"/>
        <v>80866.26827</v>
      </c>
      <c r="G48" s="49">
        <f t="shared" si="2"/>
        <v>0.1801030474</v>
      </c>
    </row>
    <row r="49">
      <c r="A49" s="45" t="s">
        <v>98</v>
      </c>
      <c r="B49" s="47">
        <v>2477.27</v>
      </c>
      <c r="C49" s="48">
        <f t="shared" si="3"/>
        <v>1704.122385</v>
      </c>
      <c r="D49" s="48">
        <f t="shared" si="1"/>
        <v>773.1476151</v>
      </c>
      <c r="E49" s="48">
        <f t="shared" si="4"/>
        <v>370364.1019</v>
      </c>
      <c r="F49" s="48">
        <f t="shared" si="5"/>
        <v>81635.89808</v>
      </c>
      <c r="G49" s="49">
        <f t="shared" si="2"/>
        <v>0.1818171449</v>
      </c>
    </row>
    <row r="50">
      <c r="A50" s="45" t="s">
        <v>99</v>
      </c>
      <c r="B50" s="47">
        <v>2477.27</v>
      </c>
      <c r="C50" s="48">
        <f t="shared" si="3"/>
        <v>1700.588501</v>
      </c>
      <c r="D50" s="48">
        <f t="shared" si="1"/>
        <v>776.6814987</v>
      </c>
      <c r="E50" s="48">
        <f t="shared" si="4"/>
        <v>369590.9543</v>
      </c>
      <c r="F50" s="48">
        <f t="shared" si="5"/>
        <v>82409.04569</v>
      </c>
      <c r="G50" s="49">
        <f t="shared" si="2"/>
        <v>0.1835390773</v>
      </c>
    </row>
    <row r="51">
      <c r="A51" s="45" t="s">
        <v>100</v>
      </c>
      <c r="B51" s="47">
        <v>2477.27</v>
      </c>
      <c r="C51" s="48">
        <f t="shared" si="3"/>
        <v>1697.038465</v>
      </c>
      <c r="D51" s="48">
        <f t="shared" si="1"/>
        <v>780.2315348</v>
      </c>
      <c r="E51" s="48">
        <f t="shared" si="4"/>
        <v>368814.2728</v>
      </c>
      <c r="F51" s="48">
        <f t="shared" si="5"/>
        <v>83185.72719</v>
      </c>
      <c r="G51" s="49">
        <f t="shared" si="2"/>
        <v>0.1852688802</v>
      </c>
    </row>
    <row r="52">
      <c r="A52" s="45" t="s">
        <v>101</v>
      </c>
      <c r="B52" s="47">
        <v>2477.27</v>
      </c>
      <c r="C52" s="48">
        <f t="shared" si="3"/>
        <v>1693.472203</v>
      </c>
      <c r="D52" s="48">
        <f t="shared" si="1"/>
        <v>783.7977974</v>
      </c>
      <c r="E52" s="48">
        <f t="shared" si="4"/>
        <v>368034.0413</v>
      </c>
      <c r="F52" s="48">
        <f t="shared" si="5"/>
        <v>83965.95873</v>
      </c>
      <c r="G52" s="49">
        <f t="shared" si="2"/>
        <v>0.1870065896</v>
      </c>
    </row>
    <row r="53">
      <c r="A53" s="45" t="s">
        <v>102</v>
      </c>
      <c r="B53" s="47">
        <v>2477.27</v>
      </c>
      <c r="C53" s="48">
        <f t="shared" si="3"/>
        <v>1689.88964</v>
      </c>
      <c r="D53" s="48">
        <f t="shared" si="1"/>
        <v>787.3803605</v>
      </c>
      <c r="E53" s="48">
        <f t="shared" si="4"/>
        <v>367250.2435</v>
      </c>
      <c r="F53" s="48">
        <f t="shared" si="5"/>
        <v>84749.75652</v>
      </c>
      <c r="G53" s="49">
        <f t="shared" si="2"/>
        <v>0.1887522417</v>
      </c>
    </row>
    <row r="54">
      <c r="A54" s="45" t="s">
        <v>103</v>
      </c>
      <c r="B54" s="47">
        <v>2477.27</v>
      </c>
      <c r="C54" s="48">
        <f t="shared" si="3"/>
        <v>1686.290701</v>
      </c>
      <c r="D54" s="48">
        <f t="shared" si="1"/>
        <v>790.9792987</v>
      </c>
      <c r="E54" s="48">
        <f t="shared" si="4"/>
        <v>366462.8631</v>
      </c>
      <c r="F54" s="48">
        <f t="shared" si="5"/>
        <v>85537.13688</v>
      </c>
      <c r="G54" s="49">
        <f t="shared" si="2"/>
        <v>0.1905058728</v>
      </c>
    </row>
    <row r="55">
      <c r="A55" s="45" t="s">
        <v>104</v>
      </c>
      <c r="B55" s="47">
        <v>2477.27</v>
      </c>
      <c r="C55" s="48">
        <f t="shared" si="3"/>
        <v>1682.675313</v>
      </c>
      <c r="D55" s="48">
        <f t="shared" si="1"/>
        <v>794.5946869</v>
      </c>
      <c r="E55" s="48">
        <f t="shared" si="4"/>
        <v>365671.8838</v>
      </c>
      <c r="F55" s="48">
        <f t="shared" si="5"/>
        <v>86328.11618</v>
      </c>
      <c r="G55" s="49">
        <f t="shared" si="2"/>
        <v>0.1922675193</v>
      </c>
    </row>
    <row r="56">
      <c r="A56" s="45" t="s">
        <v>105</v>
      </c>
      <c r="B56" s="47">
        <v>2477.27</v>
      </c>
      <c r="C56" s="48">
        <f t="shared" si="3"/>
        <v>1679.0434</v>
      </c>
      <c r="D56" s="48">
        <f t="shared" si="1"/>
        <v>798.2266001</v>
      </c>
      <c r="E56" s="48">
        <f t="shared" si="4"/>
        <v>364877.2891</v>
      </c>
      <c r="F56" s="48">
        <f t="shared" si="5"/>
        <v>87122.71087</v>
      </c>
      <c r="G56" s="49">
        <f t="shared" si="2"/>
        <v>0.194037218</v>
      </c>
    </row>
    <row r="57">
      <c r="A57" s="45" t="s">
        <v>106</v>
      </c>
      <c r="B57" s="47">
        <v>2477.27</v>
      </c>
      <c r="C57" s="48">
        <f t="shared" si="3"/>
        <v>1675.394886</v>
      </c>
      <c r="D57" s="48">
        <f t="shared" si="1"/>
        <v>801.8751141</v>
      </c>
      <c r="E57" s="48">
        <f t="shared" si="4"/>
        <v>364079.0625</v>
      </c>
      <c r="F57" s="48">
        <f t="shared" si="5"/>
        <v>87920.93747</v>
      </c>
      <c r="G57" s="49">
        <f t="shared" si="2"/>
        <v>0.1958150055</v>
      </c>
    </row>
    <row r="58">
      <c r="A58" s="45" t="s">
        <v>107</v>
      </c>
      <c r="B58" s="47">
        <v>2477.27</v>
      </c>
      <c r="C58" s="48">
        <f t="shared" si="3"/>
        <v>1671.729695</v>
      </c>
      <c r="D58" s="48">
        <f t="shared" si="1"/>
        <v>805.5403046</v>
      </c>
      <c r="E58" s="48">
        <f t="shared" si="4"/>
        <v>363277.1874</v>
      </c>
      <c r="F58" s="48">
        <f t="shared" si="5"/>
        <v>88722.81258</v>
      </c>
      <c r="G58" s="49">
        <f t="shared" si="2"/>
        <v>0.1976009189</v>
      </c>
    </row>
    <row r="59">
      <c r="A59" s="45" t="s">
        <v>108</v>
      </c>
      <c r="B59" s="47">
        <v>2477.27</v>
      </c>
      <c r="C59" s="48">
        <f t="shared" si="3"/>
        <v>1668.047752</v>
      </c>
      <c r="D59" s="48">
        <f t="shared" si="1"/>
        <v>809.2222478</v>
      </c>
      <c r="E59" s="48">
        <f t="shared" si="4"/>
        <v>362471.6471</v>
      </c>
      <c r="F59" s="48">
        <f t="shared" si="5"/>
        <v>89528.35289</v>
      </c>
      <c r="G59" s="49">
        <f t="shared" si="2"/>
        <v>0.1993949953</v>
      </c>
    </row>
    <row r="60">
      <c r="A60" s="45" t="s">
        <v>109</v>
      </c>
      <c r="B60" s="47">
        <v>2477.27</v>
      </c>
      <c r="C60" s="48">
        <f t="shared" si="3"/>
        <v>1664.34898</v>
      </c>
      <c r="D60" s="48">
        <f t="shared" si="1"/>
        <v>812.9210203</v>
      </c>
      <c r="E60" s="48">
        <f t="shared" si="4"/>
        <v>361662.4249</v>
      </c>
      <c r="F60" s="48">
        <f t="shared" si="5"/>
        <v>90337.57514</v>
      </c>
      <c r="G60" s="49">
        <f t="shared" si="2"/>
        <v>0.201197272</v>
      </c>
    </row>
    <row r="61">
      <c r="A61" s="45" t="s">
        <v>110</v>
      </c>
      <c r="B61" s="47">
        <v>2477.27</v>
      </c>
      <c r="C61" s="48">
        <f t="shared" si="3"/>
        <v>1660.633301</v>
      </c>
      <c r="D61" s="48">
        <f t="shared" si="1"/>
        <v>816.6366992</v>
      </c>
      <c r="E61" s="48">
        <f t="shared" si="4"/>
        <v>360849.5038</v>
      </c>
      <c r="F61" s="48">
        <f t="shared" si="5"/>
        <v>91150.49616</v>
      </c>
      <c r="G61" s="49">
        <f t="shared" si="2"/>
        <v>0.2030077865</v>
      </c>
    </row>
    <row r="62">
      <c r="A62" s="45" t="s">
        <v>111</v>
      </c>
      <c r="B62" s="47">
        <v>2477.27</v>
      </c>
      <c r="C62" s="48">
        <f t="shared" si="3"/>
        <v>1656.900638</v>
      </c>
      <c r="D62" s="48">
        <f t="shared" si="1"/>
        <v>820.3693615</v>
      </c>
      <c r="E62" s="48">
        <f t="shared" si="4"/>
        <v>360032.8671</v>
      </c>
      <c r="F62" s="48">
        <f t="shared" si="5"/>
        <v>91967.13286</v>
      </c>
      <c r="G62" s="49">
        <f t="shared" si="2"/>
        <v>0.2048265765</v>
      </c>
    </row>
    <row r="63">
      <c r="A63" s="45" t="s">
        <v>112</v>
      </c>
      <c r="B63" s="47">
        <v>2477.27</v>
      </c>
      <c r="C63" s="48">
        <f t="shared" si="3"/>
        <v>1653.150915</v>
      </c>
      <c r="D63" s="48">
        <f t="shared" si="1"/>
        <v>824.119085</v>
      </c>
      <c r="E63" s="48">
        <f t="shared" si="4"/>
        <v>359212.4978</v>
      </c>
      <c r="F63" s="48">
        <f t="shared" si="5"/>
        <v>92787.50222</v>
      </c>
      <c r="G63" s="49">
        <f t="shared" si="2"/>
        <v>0.2066536798</v>
      </c>
    </row>
    <row r="64">
      <c r="A64" s="45" t="s">
        <v>113</v>
      </c>
      <c r="B64" s="47">
        <v>2477.27</v>
      </c>
      <c r="C64" s="48">
        <f t="shared" si="3"/>
        <v>1649.384052</v>
      </c>
      <c r="D64" s="48">
        <f t="shared" si="1"/>
        <v>827.8859477</v>
      </c>
      <c r="E64" s="48">
        <f t="shared" si="4"/>
        <v>358388.3787</v>
      </c>
      <c r="F64" s="48">
        <f t="shared" si="5"/>
        <v>93611.6213</v>
      </c>
      <c r="G64" s="49">
        <f t="shared" si="2"/>
        <v>0.2084891343</v>
      </c>
    </row>
    <row r="65">
      <c r="A65" s="45" t="s">
        <v>114</v>
      </c>
      <c r="B65" s="47">
        <v>2477.27</v>
      </c>
      <c r="C65" s="48">
        <f t="shared" si="3"/>
        <v>1645.599972</v>
      </c>
      <c r="D65" s="48">
        <f t="shared" si="1"/>
        <v>831.6700278</v>
      </c>
      <c r="E65" s="48">
        <f t="shared" si="4"/>
        <v>357560.4927</v>
      </c>
      <c r="F65" s="48">
        <f t="shared" si="5"/>
        <v>94439.50725</v>
      </c>
      <c r="G65" s="49">
        <f t="shared" si="2"/>
        <v>0.2103329783</v>
      </c>
    </row>
    <row r="66">
      <c r="A66" s="45" t="s">
        <v>115</v>
      </c>
      <c r="B66" s="47">
        <v>2477.27</v>
      </c>
      <c r="C66" s="48">
        <f t="shared" si="3"/>
        <v>1641.798596</v>
      </c>
      <c r="D66" s="48">
        <f t="shared" si="1"/>
        <v>835.4714041</v>
      </c>
      <c r="E66" s="48">
        <f t="shared" si="4"/>
        <v>356728.8227</v>
      </c>
      <c r="F66" s="48">
        <f t="shared" si="5"/>
        <v>95271.17728</v>
      </c>
      <c r="G66" s="49">
        <f t="shared" si="2"/>
        <v>0.2121852501</v>
      </c>
    </row>
    <row r="67">
      <c r="A67" s="45" t="s">
        <v>116</v>
      </c>
      <c r="B67" s="47">
        <v>2477.27</v>
      </c>
      <c r="C67" s="48">
        <f t="shared" si="3"/>
        <v>1637.979844</v>
      </c>
      <c r="D67" s="48">
        <f t="shared" si="1"/>
        <v>839.2901557</v>
      </c>
      <c r="E67" s="48">
        <f t="shared" si="4"/>
        <v>355893.3513</v>
      </c>
      <c r="F67" s="48">
        <f t="shared" si="5"/>
        <v>96106.64868</v>
      </c>
      <c r="G67" s="49">
        <f t="shared" si="2"/>
        <v>0.2140459882</v>
      </c>
    </row>
    <row r="68">
      <c r="A68" s="45" t="s">
        <v>117</v>
      </c>
      <c r="B68" s="47">
        <v>2477.27</v>
      </c>
      <c r="C68" s="48">
        <f t="shared" si="3"/>
        <v>1634.143638</v>
      </c>
      <c r="D68" s="48">
        <f t="shared" si="1"/>
        <v>843.1263619</v>
      </c>
      <c r="E68" s="48">
        <f t="shared" si="4"/>
        <v>355054.0612</v>
      </c>
      <c r="F68" s="48">
        <f t="shared" si="5"/>
        <v>96945.93884</v>
      </c>
      <c r="G68" s="49">
        <f t="shared" si="2"/>
        <v>0.2159152313</v>
      </c>
    </row>
    <row r="69">
      <c r="A69" s="45" t="s">
        <v>118</v>
      </c>
      <c r="B69" s="47">
        <v>2477.27</v>
      </c>
      <c r="C69" s="48">
        <f t="shared" si="3"/>
        <v>1630.289898</v>
      </c>
      <c r="D69" s="48">
        <f t="shared" si="1"/>
        <v>846.9801025</v>
      </c>
      <c r="E69" s="48">
        <f t="shared" si="4"/>
        <v>354210.9348</v>
      </c>
      <c r="F69" s="48">
        <f t="shared" si="5"/>
        <v>97789.0652</v>
      </c>
      <c r="G69" s="49">
        <f t="shared" si="2"/>
        <v>0.2177930183</v>
      </c>
    </row>
    <row r="70">
      <c r="A70" s="45" t="s">
        <v>119</v>
      </c>
      <c r="B70" s="47">
        <v>2477.27</v>
      </c>
      <c r="C70" s="48">
        <f t="shared" si="3"/>
        <v>1626.418542</v>
      </c>
      <c r="D70" s="48">
        <f t="shared" si="1"/>
        <v>850.8514577</v>
      </c>
      <c r="E70" s="48">
        <f t="shared" si="4"/>
        <v>353363.9547</v>
      </c>
      <c r="F70" s="48">
        <f t="shared" si="5"/>
        <v>98636.0453</v>
      </c>
      <c r="G70" s="49">
        <f t="shared" si="2"/>
        <v>0.2196793882</v>
      </c>
    </row>
    <row r="71">
      <c r="A71" s="45" t="s">
        <v>120</v>
      </c>
      <c r="B71" s="47">
        <v>2477.27</v>
      </c>
      <c r="C71" s="48">
        <f t="shared" si="3"/>
        <v>1622.529492</v>
      </c>
      <c r="D71" s="48">
        <f t="shared" si="1"/>
        <v>854.740508</v>
      </c>
      <c r="E71" s="48">
        <f t="shared" si="4"/>
        <v>352513.1032</v>
      </c>
      <c r="F71" s="48">
        <f t="shared" si="5"/>
        <v>99486.89676</v>
      </c>
      <c r="G71" s="49">
        <f t="shared" si="2"/>
        <v>0.2215743803</v>
      </c>
    </row>
    <row r="72">
      <c r="A72" s="45" t="s">
        <v>121</v>
      </c>
      <c r="B72" s="47">
        <v>2477.27</v>
      </c>
      <c r="C72" s="48">
        <f t="shared" si="3"/>
        <v>1618.622666</v>
      </c>
      <c r="D72" s="48">
        <f t="shared" si="1"/>
        <v>858.6473343</v>
      </c>
      <c r="E72" s="48">
        <f t="shared" si="4"/>
        <v>351658.3627</v>
      </c>
      <c r="F72" s="48">
        <f t="shared" si="5"/>
        <v>100341.6373</v>
      </c>
      <c r="G72" s="49">
        <f t="shared" si="2"/>
        <v>0.223478034</v>
      </c>
    </row>
    <row r="73">
      <c r="A73" s="45" t="s">
        <v>122</v>
      </c>
      <c r="B73" s="47">
        <v>2477.27</v>
      </c>
      <c r="C73" s="48">
        <f t="shared" si="3"/>
        <v>1614.697982</v>
      </c>
      <c r="D73" s="48">
        <f t="shared" si="1"/>
        <v>862.5720178</v>
      </c>
      <c r="E73" s="48">
        <f t="shared" si="4"/>
        <v>350799.7154</v>
      </c>
      <c r="F73" s="48">
        <f t="shared" si="5"/>
        <v>101200.2846</v>
      </c>
      <c r="G73" s="49">
        <f t="shared" si="2"/>
        <v>0.2253903889</v>
      </c>
    </row>
    <row r="74">
      <c r="A74" s="45" t="s">
        <v>123</v>
      </c>
      <c r="B74" s="47">
        <v>2477.27</v>
      </c>
      <c r="C74" s="48">
        <f t="shared" si="3"/>
        <v>1610.75536</v>
      </c>
      <c r="D74" s="48">
        <f t="shared" si="1"/>
        <v>866.5146401</v>
      </c>
      <c r="E74" s="48">
        <f t="shared" si="4"/>
        <v>349937.1434</v>
      </c>
      <c r="F74" s="48">
        <f t="shared" si="5"/>
        <v>102062.8566</v>
      </c>
      <c r="G74" s="49">
        <f t="shared" si="2"/>
        <v>0.2273114847</v>
      </c>
    </row>
    <row r="75">
      <c r="A75" s="45" t="s">
        <v>124</v>
      </c>
      <c r="B75" s="47">
        <v>2477.27</v>
      </c>
      <c r="C75" s="48">
        <f t="shared" si="3"/>
        <v>1606.794717</v>
      </c>
      <c r="D75" s="48">
        <f t="shared" si="1"/>
        <v>870.4752833</v>
      </c>
      <c r="E75" s="48">
        <f t="shared" si="4"/>
        <v>349070.6287</v>
      </c>
      <c r="F75" s="48">
        <f t="shared" si="5"/>
        <v>102929.3713</v>
      </c>
      <c r="G75" s="49">
        <f t="shared" si="2"/>
        <v>0.2292413614</v>
      </c>
    </row>
    <row r="76">
      <c r="A76" s="45" t="s">
        <v>125</v>
      </c>
      <c r="B76" s="47">
        <v>2477.27</v>
      </c>
      <c r="C76" s="48">
        <f t="shared" si="3"/>
        <v>1602.81597</v>
      </c>
      <c r="D76" s="48">
        <f t="shared" si="1"/>
        <v>874.4540297</v>
      </c>
      <c r="E76" s="48">
        <f t="shared" si="4"/>
        <v>348200.1535</v>
      </c>
      <c r="F76" s="48">
        <f t="shared" si="5"/>
        <v>103799.8465</v>
      </c>
      <c r="G76" s="49">
        <f t="shared" si="2"/>
        <v>0.2311800591</v>
      </c>
    </row>
    <row r="77">
      <c r="A77" s="45" t="s">
        <v>126</v>
      </c>
      <c r="B77" s="47">
        <v>2477.27</v>
      </c>
      <c r="C77" s="48">
        <f t="shared" si="3"/>
        <v>1598.819038</v>
      </c>
      <c r="D77" s="48">
        <f t="shared" si="1"/>
        <v>878.450962</v>
      </c>
      <c r="E77" s="48">
        <f t="shared" si="4"/>
        <v>347325.6994</v>
      </c>
      <c r="F77" s="48">
        <f t="shared" si="5"/>
        <v>104674.3006</v>
      </c>
      <c r="G77" s="49">
        <f t="shared" si="2"/>
        <v>0.2331276182</v>
      </c>
    </row>
    <row r="78">
      <c r="A78" s="45" t="s">
        <v>127</v>
      </c>
      <c r="B78" s="47">
        <v>2477.27</v>
      </c>
      <c r="C78" s="48">
        <f t="shared" si="3"/>
        <v>1594.803837</v>
      </c>
      <c r="D78" s="48">
        <f t="shared" si="1"/>
        <v>882.4661635</v>
      </c>
      <c r="E78" s="48">
        <f t="shared" si="4"/>
        <v>346447.2485</v>
      </c>
      <c r="F78" s="48">
        <f t="shared" si="5"/>
        <v>105552.7515</v>
      </c>
      <c r="G78" s="49">
        <f t="shared" si="2"/>
        <v>0.2350840791</v>
      </c>
    </row>
    <row r="79">
      <c r="A79" s="45" t="s">
        <v>128</v>
      </c>
      <c r="B79" s="47">
        <v>2477.27</v>
      </c>
      <c r="C79" s="48">
        <f t="shared" si="3"/>
        <v>1590.770283</v>
      </c>
      <c r="D79" s="48">
        <f t="shared" si="1"/>
        <v>886.4997175</v>
      </c>
      <c r="E79" s="48">
        <f t="shared" si="4"/>
        <v>345564.7823</v>
      </c>
      <c r="F79" s="48">
        <f t="shared" si="5"/>
        <v>106435.2177</v>
      </c>
      <c r="G79" s="49">
        <f t="shared" si="2"/>
        <v>0.2370494826</v>
      </c>
    </row>
    <row r="80">
      <c r="A80" s="45" t="s">
        <v>129</v>
      </c>
      <c r="B80" s="47">
        <v>2477.27</v>
      </c>
      <c r="C80" s="48">
        <f t="shared" si="3"/>
        <v>1586.718292</v>
      </c>
      <c r="D80" s="48">
        <f t="shared" si="1"/>
        <v>890.5517079</v>
      </c>
      <c r="E80" s="48">
        <f t="shared" si="4"/>
        <v>344678.2826</v>
      </c>
      <c r="F80" s="48">
        <f t="shared" si="5"/>
        <v>107321.7174</v>
      </c>
      <c r="G80" s="49">
        <f t="shared" si="2"/>
        <v>0.2390238695</v>
      </c>
    </row>
    <row r="81">
      <c r="A81" s="45" t="s">
        <v>130</v>
      </c>
      <c r="B81" s="47">
        <v>2477.27</v>
      </c>
      <c r="C81" s="48">
        <f t="shared" si="3"/>
        <v>1582.647781</v>
      </c>
      <c r="D81" s="48">
        <f t="shared" si="1"/>
        <v>894.6222191</v>
      </c>
      <c r="E81" s="48">
        <f t="shared" si="4"/>
        <v>343787.7309</v>
      </c>
      <c r="F81" s="48">
        <f t="shared" si="5"/>
        <v>108212.2691</v>
      </c>
      <c r="G81" s="49">
        <f t="shared" si="2"/>
        <v>0.2410072809</v>
      </c>
    </row>
    <row r="82">
      <c r="A82" s="45" t="s">
        <v>131</v>
      </c>
      <c r="B82" s="47">
        <v>2477.27</v>
      </c>
      <c r="C82" s="48">
        <f t="shared" si="3"/>
        <v>1578.558664</v>
      </c>
      <c r="D82" s="48">
        <f t="shared" si="1"/>
        <v>898.7113357</v>
      </c>
      <c r="E82" s="48">
        <f t="shared" si="4"/>
        <v>342893.1087</v>
      </c>
      <c r="F82" s="48">
        <f t="shared" si="5"/>
        <v>109106.8913</v>
      </c>
      <c r="G82" s="49">
        <f t="shared" si="2"/>
        <v>0.242999758</v>
      </c>
    </row>
    <row r="83">
      <c r="A83" s="45" t="s">
        <v>132</v>
      </c>
      <c r="B83" s="47">
        <v>2477.27</v>
      </c>
      <c r="C83" s="48">
        <f t="shared" si="3"/>
        <v>1574.450857</v>
      </c>
      <c r="D83" s="48">
        <f t="shared" si="1"/>
        <v>902.8191428</v>
      </c>
      <c r="E83" s="48">
        <f t="shared" si="4"/>
        <v>341994.3973</v>
      </c>
      <c r="F83" s="48">
        <f t="shared" si="5"/>
        <v>110005.6027</v>
      </c>
      <c r="G83" s="49">
        <f t="shared" si="2"/>
        <v>0.2450013423</v>
      </c>
    </row>
    <row r="84">
      <c r="A84" s="45" t="s">
        <v>133</v>
      </c>
      <c r="B84" s="47">
        <v>2477.27</v>
      </c>
      <c r="C84" s="48">
        <f t="shared" si="3"/>
        <v>1570.324274</v>
      </c>
      <c r="D84" s="48">
        <f t="shared" si="1"/>
        <v>906.9457256</v>
      </c>
      <c r="E84" s="48">
        <f t="shared" si="4"/>
        <v>341091.5782</v>
      </c>
      <c r="F84" s="48">
        <f t="shared" si="5"/>
        <v>110908.4218</v>
      </c>
      <c r="G84" s="49">
        <f t="shared" si="2"/>
        <v>0.2470120753</v>
      </c>
    </row>
    <row r="85">
      <c r="A85" s="45" t="s">
        <v>134</v>
      </c>
      <c r="B85" s="47">
        <v>2477.27</v>
      </c>
      <c r="C85" s="48">
        <f t="shared" si="3"/>
        <v>1566.17883</v>
      </c>
      <c r="D85" s="48">
        <f t="shared" si="1"/>
        <v>911.0911702</v>
      </c>
      <c r="E85" s="48">
        <f t="shared" si="4"/>
        <v>340184.6325</v>
      </c>
      <c r="F85" s="48">
        <f t="shared" si="5"/>
        <v>111815.3675</v>
      </c>
      <c r="G85" s="49">
        <f t="shared" si="2"/>
        <v>0.249031999</v>
      </c>
    </row>
    <row r="86">
      <c r="A86" s="45" t="s">
        <v>135</v>
      </c>
      <c r="B86" s="47">
        <v>2477.27</v>
      </c>
      <c r="C86" s="48">
        <f t="shared" si="3"/>
        <v>1562.014437</v>
      </c>
      <c r="D86" s="48">
        <f t="shared" si="1"/>
        <v>915.2555627</v>
      </c>
      <c r="E86" s="48">
        <f t="shared" si="4"/>
        <v>339273.5413</v>
      </c>
      <c r="F86" s="48">
        <f t="shared" si="5"/>
        <v>112726.4587</v>
      </c>
      <c r="G86" s="49">
        <f t="shared" si="2"/>
        <v>0.2510611553</v>
      </c>
    </row>
    <row r="87">
      <c r="A87" s="45" t="s">
        <v>136</v>
      </c>
      <c r="B87" s="47">
        <v>2477.27</v>
      </c>
      <c r="C87" s="48">
        <f t="shared" si="3"/>
        <v>1557.83101</v>
      </c>
      <c r="D87" s="48">
        <f t="shared" si="1"/>
        <v>919.4389896</v>
      </c>
      <c r="E87" s="48">
        <f t="shared" si="4"/>
        <v>338358.2857</v>
      </c>
      <c r="F87" s="48">
        <f t="shared" si="5"/>
        <v>113641.7143</v>
      </c>
      <c r="G87" s="49">
        <f t="shared" si="2"/>
        <v>0.2530995864</v>
      </c>
    </row>
    <row r="88">
      <c r="A88" s="45" t="s">
        <v>137</v>
      </c>
      <c r="B88" s="47">
        <v>2477.27</v>
      </c>
      <c r="C88" s="48">
        <f t="shared" si="3"/>
        <v>1553.628462</v>
      </c>
      <c r="D88" s="48">
        <f t="shared" si="1"/>
        <v>923.6415381</v>
      </c>
      <c r="E88" s="48">
        <f t="shared" si="4"/>
        <v>337438.8467</v>
      </c>
      <c r="F88" s="48">
        <f t="shared" si="5"/>
        <v>114561.1533</v>
      </c>
      <c r="G88" s="49">
        <f t="shared" si="2"/>
        <v>0.2551473347</v>
      </c>
    </row>
    <row r="89">
      <c r="A89" s="45" t="s">
        <v>138</v>
      </c>
      <c r="B89" s="47">
        <v>2477.27</v>
      </c>
      <c r="C89" s="48">
        <f t="shared" si="3"/>
        <v>1549.406705</v>
      </c>
      <c r="D89" s="48">
        <f t="shared" si="1"/>
        <v>927.8632954</v>
      </c>
      <c r="E89" s="48">
        <f t="shared" si="4"/>
        <v>336515.2052</v>
      </c>
      <c r="F89" s="48">
        <f t="shared" si="5"/>
        <v>115484.7948</v>
      </c>
      <c r="G89" s="49">
        <f t="shared" si="2"/>
        <v>0.2572044428</v>
      </c>
    </row>
    <row r="90">
      <c r="A90" s="45" t="s">
        <v>139</v>
      </c>
      <c r="B90" s="47">
        <v>2477.27</v>
      </c>
      <c r="C90" s="48">
        <f t="shared" si="3"/>
        <v>1545.165651</v>
      </c>
      <c r="D90" s="48">
        <f t="shared" si="1"/>
        <v>932.1043495</v>
      </c>
      <c r="E90" s="48">
        <f t="shared" si="4"/>
        <v>335587.3419</v>
      </c>
      <c r="F90" s="48">
        <f t="shared" si="5"/>
        <v>116412.6581</v>
      </c>
      <c r="G90" s="49">
        <f t="shared" si="2"/>
        <v>0.2592709535</v>
      </c>
    </row>
    <row r="91">
      <c r="A91" s="45" t="s">
        <v>140</v>
      </c>
      <c r="B91" s="47">
        <v>2477.27</v>
      </c>
      <c r="C91" s="48">
        <f t="shared" si="3"/>
        <v>1540.905212</v>
      </c>
      <c r="D91" s="48">
        <f t="shared" si="1"/>
        <v>936.3647885</v>
      </c>
      <c r="E91" s="48">
        <f t="shared" si="4"/>
        <v>334655.2375</v>
      </c>
      <c r="F91" s="48">
        <f t="shared" si="5"/>
        <v>117344.7625</v>
      </c>
      <c r="G91" s="49">
        <f t="shared" si="2"/>
        <v>0.2613469097</v>
      </c>
    </row>
    <row r="92">
      <c r="A92" s="45" t="s">
        <v>141</v>
      </c>
      <c r="B92" s="47">
        <v>2477.27</v>
      </c>
      <c r="C92" s="48">
        <f t="shared" si="3"/>
        <v>1536.625299</v>
      </c>
      <c r="D92" s="48">
        <f t="shared" si="1"/>
        <v>940.6447009</v>
      </c>
      <c r="E92" s="48">
        <f t="shared" si="4"/>
        <v>333718.8728</v>
      </c>
      <c r="F92" s="48">
        <f t="shared" si="5"/>
        <v>118281.1272</v>
      </c>
      <c r="G92" s="49">
        <f t="shared" si="2"/>
        <v>0.2634323547</v>
      </c>
    </row>
    <row r="93">
      <c r="A93" s="45" t="s">
        <v>142</v>
      </c>
      <c r="B93" s="47">
        <v>2477.27</v>
      </c>
      <c r="C93" s="48">
        <f t="shared" si="3"/>
        <v>1532.325824</v>
      </c>
      <c r="D93" s="48">
        <f t="shared" si="1"/>
        <v>944.9441759</v>
      </c>
      <c r="E93" s="48">
        <f t="shared" si="4"/>
        <v>332778.2281</v>
      </c>
      <c r="F93" s="48">
        <f t="shared" si="5"/>
        <v>119221.7719</v>
      </c>
      <c r="G93" s="49">
        <f t="shared" si="2"/>
        <v>0.2655273317</v>
      </c>
    </row>
    <row r="94">
      <c r="A94" s="45" t="s">
        <v>143</v>
      </c>
      <c r="B94" s="47">
        <v>2477.27</v>
      </c>
      <c r="C94" s="48">
        <f t="shared" si="3"/>
        <v>1528.006697</v>
      </c>
      <c r="D94" s="48">
        <f t="shared" si="1"/>
        <v>949.2633028</v>
      </c>
      <c r="E94" s="48">
        <f t="shared" si="4"/>
        <v>331833.2839</v>
      </c>
      <c r="F94" s="48">
        <f t="shared" si="5"/>
        <v>120166.7161</v>
      </c>
      <c r="G94" s="49">
        <f t="shared" si="2"/>
        <v>0.2676318845</v>
      </c>
    </row>
    <row r="95">
      <c r="A95" s="45" t="s">
        <v>144</v>
      </c>
      <c r="B95" s="47">
        <v>2477.27</v>
      </c>
      <c r="C95" s="48">
        <f t="shared" si="3"/>
        <v>1523.667828</v>
      </c>
      <c r="D95" s="48">
        <f t="shared" si="1"/>
        <v>953.6021715</v>
      </c>
      <c r="E95" s="48">
        <f t="shared" si="4"/>
        <v>330884.0206</v>
      </c>
      <c r="F95" s="48">
        <f t="shared" si="5"/>
        <v>121115.9794</v>
      </c>
      <c r="G95" s="49">
        <f t="shared" si="2"/>
        <v>0.2697460566</v>
      </c>
    </row>
    <row r="96">
      <c r="A96" s="45" t="s">
        <v>145</v>
      </c>
      <c r="B96" s="47">
        <v>2477.27</v>
      </c>
      <c r="C96" s="48">
        <f t="shared" si="3"/>
        <v>1519.309128</v>
      </c>
      <c r="D96" s="48">
        <f t="shared" si="1"/>
        <v>957.9608722</v>
      </c>
      <c r="E96" s="48">
        <f t="shared" si="4"/>
        <v>329930.4184</v>
      </c>
      <c r="F96" s="48">
        <f t="shared" si="5"/>
        <v>122069.5816</v>
      </c>
      <c r="G96" s="49">
        <f t="shared" si="2"/>
        <v>0.2718698922</v>
      </c>
    </row>
    <row r="97">
      <c r="A97" s="45" t="s">
        <v>146</v>
      </c>
      <c r="B97" s="47">
        <v>2477.27</v>
      </c>
      <c r="C97" s="48">
        <f t="shared" si="3"/>
        <v>1514.930505</v>
      </c>
      <c r="D97" s="48">
        <f t="shared" si="1"/>
        <v>962.3394955</v>
      </c>
      <c r="E97" s="48">
        <f t="shared" si="4"/>
        <v>328972.4575</v>
      </c>
      <c r="F97" s="48">
        <f t="shared" si="5"/>
        <v>123027.5425</v>
      </c>
      <c r="G97" s="49">
        <f t="shared" si="2"/>
        <v>0.2740034353</v>
      </c>
    </row>
    <row r="98">
      <c r="A98" s="45" t="s">
        <v>147</v>
      </c>
      <c r="B98" s="47">
        <v>2477.27</v>
      </c>
      <c r="C98" s="48">
        <f t="shared" si="3"/>
        <v>1510.531868</v>
      </c>
      <c r="D98" s="48">
        <f t="shared" si="1"/>
        <v>966.7381325</v>
      </c>
      <c r="E98" s="48">
        <f t="shared" si="4"/>
        <v>328010.118</v>
      </c>
      <c r="F98" s="48">
        <f t="shared" si="5"/>
        <v>123989.882</v>
      </c>
      <c r="G98" s="49">
        <f t="shared" si="2"/>
        <v>0.2761467304</v>
      </c>
    </row>
    <row r="99">
      <c r="A99" s="45" t="s">
        <v>148</v>
      </c>
      <c r="B99" s="47">
        <v>2477.27</v>
      </c>
      <c r="C99" s="48">
        <f t="shared" si="3"/>
        <v>1506.113125</v>
      </c>
      <c r="D99" s="48">
        <f t="shared" si="1"/>
        <v>971.1568747</v>
      </c>
      <c r="E99" s="48">
        <f t="shared" si="4"/>
        <v>327043.3799</v>
      </c>
      <c r="F99" s="48">
        <f t="shared" si="5"/>
        <v>124956.6201</v>
      </c>
      <c r="G99" s="49">
        <f t="shared" si="2"/>
        <v>0.278299822</v>
      </c>
    </row>
    <row r="100">
      <c r="A100" s="45" t="s">
        <v>149</v>
      </c>
      <c r="B100" s="47">
        <v>2477.27</v>
      </c>
      <c r="C100" s="48">
        <f t="shared" si="3"/>
        <v>1501.674186</v>
      </c>
      <c r="D100" s="48">
        <f t="shared" si="1"/>
        <v>975.5958139</v>
      </c>
      <c r="E100" s="48">
        <f t="shared" si="4"/>
        <v>326072.223</v>
      </c>
      <c r="F100" s="48">
        <f t="shared" si="5"/>
        <v>125927.777</v>
      </c>
      <c r="G100" s="49">
        <f t="shared" si="2"/>
        <v>0.2804627549</v>
      </c>
    </row>
    <row r="101">
      <c r="A101" s="45" t="s">
        <v>150</v>
      </c>
      <c r="B101" s="47">
        <v>2477.27</v>
      </c>
      <c r="C101" s="48">
        <f t="shared" si="3"/>
        <v>1497.214957</v>
      </c>
      <c r="D101" s="48">
        <f t="shared" si="1"/>
        <v>980.0550426</v>
      </c>
      <c r="E101" s="48">
        <f t="shared" si="4"/>
        <v>325096.6272</v>
      </c>
      <c r="F101" s="48">
        <f t="shared" si="5"/>
        <v>126903.3728</v>
      </c>
      <c r="G101" s="49">
        <f t="shared" si="2"/>
        <v>0.2826355741</v>
      </c>
    </row>
    <row r="102">
      <c r="A102" s="45" t="s">
        <v>151</v>
      </c>
      <c r="B102" s="47">
        <v>2477.27</v>
      </c>
      <c r="C102" s="48">
        <f t="shared" si="3"/>
        <v>1492.735347</v>
      </c>
      <c r="D102" s="48">
        <f t="shared" si="1"/>
        <v>984.5346534</v>
      </c>
      <c r="E102" s="48">
        <f t="shared" si="4"/>
        <v>324116.5722</v>
      </c>
      <c r="F102" s="48">
        <f t="shared" si="5"/>
        <v>127883.4278</v>
      </c>
      <c r="G102" s="49">
        <f t="shared" si="2"/>
        <v>0.2848183248</v>
      </c>
    </row>
    <row r="103">
      <c r="A103" s="45" t="s">
        <v>152</v>
      </c>
      <c r="B103" s="47">
        <v>2477.27</v>
      </c>
      <c r="C103" s="48">
        <f t="shared" si="3"/>
        <v>1488.235261</v>
      </c>
      <c r="D103" s="48">
        <f t="shared" si="1"/>
        <v>989.0347394</v>
      </c>
      <c r="E103" s="48">
        <f t="shared" si="4"/>
        <v>323132.0375</v>
      </c>
      <c r="F103" s="48">
        <f t="shared" si="5"/>
        <v>128867.9625</v>
      </c>
      <c r="G103" s="49">
        <f t="shared" si="2"/>
        <v>0.2870110523</v>
      </c>
    </row>
    <row r="104">
      <c r="A104" s="45" t="s">
        <v>153</v>
      </c>
      <c r="B104" s="47">
        <v>2477.27</v>
      </c>
      <c r="C104" s="48">
        <f t="shared" si="3"/>
        <v>1483.714606</v>
      </c>
      <c r="D104" s="48">
        <f t="shared" si="1"/>
        <v>993.5553944</v>
      </c>
      <c r="E104" s="48">
        <f t="shared" si="4"/>
        <v>322143.0028</v>
      </c>
      <c r="F104" s="48">
        <f t="shared" si="5"/>
        <v>129856.9972</v>
      </c>
      <c r="G104" s="49">
        <f t="shared" si="2"/>
        <v>0.2892138023</v>
      </c>
    </row>
    <row r="105">
      <c r="A105" s="45" t="s">
        <v>154</v>
      </c>
      <c r="B105" s="47">
        <v>2477.27</v>
      </c>
      <c r="C105" s="48">
        <f t="shared" si="3"/>
        <v>1479.173288</v>
      </c>
      <c r="D105" s="48">
        <f t="shared" si="1"/>
        <v>998.0967122</v>
      </c>
      <c r="E105" s="48">
        <f t="shared" si="4"/>
        <v>321149.4474</v>
      </c>
      <c r="F105" s="48">
        <f t="shared" si="5"/>
        <v>130850.5526</v>
      </c>
      <c r="G105" s="49">
        <f t="shared" si="2"/>
        <v>0.2914266205</v>
      </c>
    </row>
    <row r="106">
      <c r="A106" s="45" t="s">
        <v>155</v>
      </c>
      <c r="B106" s="47">
        <v>2477.27</v>
      </c>
      <c r="C106" s="48">
        <f t="shared" si="3"/>
        <v>1474.611213</v>
      </c>
      <c r="D106" s="48">
        <f t="shared" si="1"/>
        <v>1002.658787</v>
      </c>
      <c r="E106" s="48">
        <f t="shared" si="4"/>
        <v>320151.3507</v>
      </c>
      <c r="F106" s="48">
        <f t="shared" si="5"/>
        <v>131848.6493</v>
      </c>
      <c r="G106" s="49">
        <f t="shared" si="2"/>
        <v>0.2936495531</v>
      </c>
    </row>
    <row r="107">
      <c r="A107" s="45" t="s">
        <v>156</v>
      </c>
      <c r="B107" s="47">
        <v>2477.27</v>
      </c>
      <c r="C107" s="48">
        <f t="shared" si="3"/>
        <v>1470.028285</v>
      </c>
      <c r="D107" s="48">
        <f t="shared" si="1"/>
        <v>1007.241715</v>
      </c>
      <c r="E107" s="48">
        <f t="shared" si="4"/>
        <v>319148.6919</v>
      </c>
      <c r="F107" s="48">
        <f t="shared" si="5"/>
        <v>132851.3081</v>
      </c>
      <c r="G107" s="49">
        <f t="shared" si="2"/>
        <v>0.2958826461</v>
      </c>
    </row>
    <row r="108">
      <c r="A108" s="45" t="s">
        <v>157</v>
      </c>
      <c r="B108" s="47">
        <v>2477.27</v>
      </c>
      <c r="C108" s="48">
        <f t="shared" si="3"/>
        <v>1465.42441</v>
      </c>
      <c r="D108" s="48">
        <f t="shared" si="1"/>
        <v>1011.84559</v>
      </c>
      <c r="E108" s="48">
        <f t="shared" si="4"/>
        <v>318141.4502</v>
      </c>
      <c r="F108" s="48">
        <f t="shared" si="5"/>
        <v>133858.5498</v>
      </c>
      <c r="G108" s="49">
        <f t="shared" si="2"/>
        <v>0.2981259462</v>
      </c>
    </row>
    <row r="109">
      <c r="A109" s="45" t="s">
        <v>158</v>
      </c>
      <c r="B109" s="47">
        <v>2477.27</v>
      </c>
      <c r="C109" s="48">
        <f t="shared" si="3"/>
        <v>1460.799492</v>
      </c>
      <c r="D109" s="48">
        <f t="shared" si="1"/>
        <v>1016.470508</v>
      </c>
      <c r="E109" s="48">
        <f t="shared" si="4"/>
        <v>317129.6046</v>
      </c>
      <c r="F109" s="48">
        <f t="shared" si="5"/>
        <v>134870.3954</v>
      </c>
      <c r="G109" s="49">
        <f t="shared" si="2"/>
        <v>0.3003794998</v>
      </c>
    </row>
    <row r="110">
      <c r="A110" s="45" t="s">
        <v>159</v>
      </c>
      <c r="B110" s="47">
        <v>2477.27</v>
      </c>
      <c r="C110" s="48">
        <f t="shared" si="3"/>
        <v>1456.153434</v>
      </c>
      <c r="D110" s="48">
        <f t="shared" si="1"/>
        <v>1021.116566</v>
      </c>
      <c r="E110" s="48">
        <f t="shared" si="4"/>
        <v>316113.1341</v>
      </c>
      <c r="F110" s="48">
        <f t="shared" si="5"/>
        <v>135886.8659</v>
      </c>
      <c r="G110" s="49">
        <f t="shared" si="2"/>
        <v>0.3026433539</v>
      </c>
    </row>
    <row r="111">
      <c r="A111" s="45" t="s">
        <v>160</v>
      </c>
      <c r="B111" s="47">
        <v>2477.27</v>
      </c>
      <c r="C111" s="48">
        <f t="shared" si="3"/>
        <v>1451.486141</v>
      </c>
      <c r="D111" s="48">
        <f t="shared" si="1"/>
        <v>1025.783859</v>
      </c>
      <c r="E111" s="48">
        <f t="shared" si="4"/>
        <v>315092.0175</v>
      </c>
      <c r="F111" s="48">
        <f t="shared" si="5"/>
        <v>136907.9825</v>
      </c>
      <c r="G111" s="49">
        <f t="shared" si="2"/>
        <v>0.3049175557</v>
      </c>
    </row>
    <row r="112">
      <c r="A112" s="45" t="s">
        <v>161</v>
      </c>
      <c r="B112" s="47">
        <v>2477.27</v>
      </c>
      <c r="C112" s="48">
        <f t="shared" si="3"/>
        <v>1446.797514</v>
      </c>
      <c r="D112" s="48">
        <f t="shared" si="1"/>
        <v>1030.472486</v>
      </c>
      <c r="E112" s="48">
        <f t="shared" si="4"/>
        <v>314066.2337</v>
      </c>
      <c r="F112" s="48">
        <f t="shared" si="5"/>
        <v>137933.7663</v>
      </c>
      <c r="G112" s="49">
        <f t="shared" si="2"/>
        <v>0.3072021522</v>
      </c>
    </row>
    <row r="113">
      <c r="A113" s="45" t="s">
        <v>162</v>
      </c>
      <c r="B113" s="47">
        <v>2477.27</v>
      </c>
      <c r="C113" s="48">
        <f t="shared" si="3"/>
        <v>1442.087456</v>
      </c>
      <c r="D113" s="48">
        <f t="shared" si="1"/>
        <v>1035.182544</v>
      </c>
      <c r="E113" s="48">
        <f t="shared" si="4"/>
        <v>313035.7612</v>
      </c>
      <c r="F113" s="48">
        <f t="shared" si="5"/>
        <v>138964.2388</v>
      </c>
      <c r="G113" s="49">
        <f t="shared" si="2"/>
        <v>0.3094971912</v>
      </c>
    </row>
    <row r="114">
      <c r="A114" s="45" t="s">
        <v>163</v>
      </c>
      <c r="B114" s="47">
        <v>2477.27</v>
      </c>
      <c r="C114" s="48">
        <f t="shared" si="3"/>
        <v>1437.35587</v>
      </c>
      <c r="D114" s="48">
        <f t="shared" si="1"/>
        <v>1039.91413</v>
      </c>
      <c r="E114" s="48">
        <f t="shared" si="4"/>
        <v>312000.5786</v>
      </c>
      <c r="F114" s="48">
        <f t="shared" si="5"/>
        <v>139999.4214</v>
      </c>
      <c r="G114" s="49">
        <f t="shared" si="2"/>
        <v>0.3118027202</v>
      </c>
    </row>
    <row r="115">
      <c r="A115" s="45" t="s">
        <v>164</v>
      </c>
      <c r="B115" s="47">
        <v>2477.27</v>
      </c>
      <c r="C115" s="48">
        <f t="shared" si="3"/>
        <v>1432.602657</v>
      </c>
      <c r="D115" s="48">
        <f t="shared" si="1"/>
        <v>1044.667343</v>
      </c>
      <c r="E115" s="48">
        <f t="shared" si="4"/>
        <v>310960.6645</v>
      </c>
      <c r="F115" s="48">
        <f t="shared" si="5"/>
        <v>141039.3355</v>
      </c>
      <c r="G115" s="49">
        <f t="shared" si="2"/>
        <v>0.3141187873</v>
      </c>
    </row>
    <row r="116">
      <c r="A116" s="45" t="s">
        <v>165</v>
      </c>
      <c r="B116" s="47">
        <v>2477.27</v>
      </c>
      <c r="C116" s="48">
        <f t="shared" si="3"/>
        <v>1427.827718</v>
      </c>
      <c r="D116" s="48">
        <f t="shared" si="1"/>
        <v>1049.442282</v>
      </c>
      <c r="E116" s="48">
        <f t="shared" si="4"/>
        <v>309915.9971</v>
      </c>
      <c r="F116" s="48">
        <f t="shared" si="5"/>
        <v>142084.0029</v>
      </c>
      <c r="G116" s="49">
        <f t="shared" si="2"/>
        <v>0.3164454406</v>
      </c>
    </row>
    <row r="117">
      <c r="A117" s="45" t="s">
        <v>166</v>
      </c>
      <c r="B117" s="47">
        <v>2477.27</v>
      </c>
      <c r="C117" s="48">
        <f t="shared" si="3"/>
        <v>1423.030954</v>
      </c>
      <c r="D117" s="48">
        <f t="shared" si="1"/>
        <v>1054.239046</v>
      </c>
      <c r="E117" s="48">
        <f t="shared" si="4"/>
        <v>308866.5549</v>
      </c>
      <c r="F117" s="48">
        <f t="shared" si="5"/>
        <v>143133.4451</v>
      </c>
      <c r="G117" s="49">
        <f t="shared" si="2"/>
        <v>0.3187827286</v>
      </c>
    </row>
    <row r="118">
      <c r="A118" s="45" t="s">
        <v>167</v>
      </c>
      <c r="B118" s="47">
        <v>2477.27</v>
      </c>
      <c r="C118" s="48">
        <f t="shared" si="3"/>
        <v>1418.212264</v>
      </c>
      <c r="D118" s="48">
        <f t="shared" si="1"/>
        <v>1059.057736</v>
      </c>
      <c r="E118" s="48">
        <f t="shared" si="4"/>
        <v>307812.3158</v>
      </c>
      <c r="F118" s="48">
        <f t="shared" si="5"/>
        <v>144187.6842</v>
      </c>
      <c r="G118" s="49">
        <f t="shared" si="2"/>
        <v>0.3211306997</v>
      </c>
    </row>
    <row r="119">
      <c r="A119" s="45" t="s">
        <v>168</v>
      </c>
      <c r="B119" s="47">
        <v>2477.27</v>
      </c>
      <c r="C119" s="48">
        <f t="shared" si="3"/>
        <v>1413.37155</v>
      </c>
      <c r="D119" s="48">
        <f t="shared" si="1"/>
        <v>1063.89845</v>
      </c>
      <c r="E119" s="48">
        <f t="shared" si="4"/>
        <v>306753.2581</v>
      </c>
      <c r="F119" s="48">
        <f t="shared" si="5"/>
        <v>145246.7419</v>
      </c>
      <c r="G119" s="49">
        <f t="shared" si="2"/>
        <v>0.3234894029</v>
      </c>
    </row>
    <row r="120">
      <c r="A120" s="45" t="s">
        <v>169</v>
      </c>
      <c r="B120" s="47">
        <v>2477.27</v>
      </c>
      <c r="C120" s="48">
        <f t="shared" si="3"/>
        <v>1408.50871</v>
      </c>
      <c r="D120" s="48">
        <f t="shared" si="1"/>
        <v>1068.76129</v>
      </c>
      <c r="E120" s="48">
        <f t="shared" si="4"/>
        <v>305689.3596</v>
      </c>
      <c r="F120" s="48">
        <f t="shared" si="5"/>
        <v>146310.6404</v>
      </c>
      <c r="G120" s="49">
        <f t="shared" si="2"/>
        <v>0.3258588872</v>
      </c>
    </row>
    <row r="121">
      <c r="A121" s="45" t="s">
        <v>170</v>
      </c>
      <c r="B121" s="47">
        <v>2477.27</v>
      </c>
      <c r="C121" s="48">
        <f t="shared" si="3"/>
        <v>1403.623643</v>
      </c>
      <c r="D121" s="48">
        <f t="shared" si="1"/>
        <v>1073.646357</v>
      </c>
      <c r="E121" s="48">
        <f t="shared" si="4"/>
        <v>304620.5983</v>
      </c>
      <c r="F121" s="48">
        <f t="shared" si="5"/>
        <v>147379.4017</v>
      </c>
      <c r="G121" s="49">
        <f t="shared" si="2"/>
        <v>0.3282392019</v>
      </c>
    </row>
    <row r="122">
      <c r="A122" s="45" t="s">
        <v>171</v>
      </c>
      <c r="B122" s="47">
        <v>2477.27</v>
      </c>
      <c r="C122" s="48">
        <f t="shared" si="3"/>
        <v>1398.716247</v>
      </c>
      <c r="D122" s="48">
        <f t="shared" si="1"/>
        <v>1078.553753</v>
      </c>
      <c r="E122" s="48">
        <f t="shared" si="4"/>
        <v>303546.952</v>
      </c>
      <c r="F122" s="48">
        <f t="shared" si="5"/>
        <v>148453.048</v>
      </c>
      <c r="G122" s="49">
        <f t="shared" si="2"/>
        <v>0.3306303965</v>
      </c>
    </row>
    <row r="123">
      <c r="A123" s="45" t="s">
        <v>172</v>
      </c>
      <c r="B123" s="47">
        <v>2477.27</v>
      </c>
      <c r="C123" s="48">
        <f t="shared" si="3"/>
        <v>1393.786421</v>
      </c>
      <c r="D123" s="48">
        <f t="shared" si="1"/>
        <v>1083.483579</v>
      </c>
      <c r="E123" s="48">
        <f t="shared" si="4"/>
        <v>302468.3982</v>
      </c>
      <c r="F123" s="48">
        <f t="shared" si="5"/>
        <v>149531.6018</v>
      </c>
      <c r="G123" s="49">
        <f t="shared" si="2"/>
        <v>0.3330325206</v>
      </c>
    </row>
    <row r="124">
      <c r="A124" s="45" t="s">
        <v>173</v>
      </c>
      <c r="B124" s="47">
        <v>2477.27</v>
      </c>
      <c r="C124" s="48">
        <f t="shared" si="3"/>
        <v>1388.834062</v>
      </c>
      <c r="D124" s="48">
        <f t="shared" si="1"/>
        <v>1088.435938</v>
      </c>
      <c r="E124" s="48">
        <f t="shared" si="4"/>
        <v>301384.9147</v>
      </c>
      <c r="F124" s="48">
        <f t="shared" si="5"/>
        <v>150615.0853</v>
      </c>
      <c r="G124" s="49">
        <f t="shared" si="2"/>
        <v>0.3354456244</v>
      </c>
    </row>
    <row r="125">
      <c r="A125" s="45" t="s">
        <v>174</v>
      </c>
      <c r="B125" s="47">
        <v>2477.27</v>
      </c>
      <c r="C125" s="48">
        <f t="shared" si="3"/>
        <v>1383.859066</v>
      </c>
      <c r="D125" s="48">
        <f t="shared" si="1"/>
        <v>1093.410934</v>
      </c>
      <c r="E125" s="48">
        <f t="shared" si="4"/>
        <v>300296.4787</v>
      </c>
      <c r="F125" s="48">
        <f t="shared" si="5"/>
        <v>151703.5213</v>
      </c>
      <c r="G125" s="49">
        <f t="shared" si="2"/>
        <v>0.3378697579</v>
      </c>
    </row>
    <row r="126">
      <c r="A126" s="45" t="s">
        <v>175</v>
      </c>
      <c r="B126" s="47">
        <v>2477.27</v>
      </c>
      <c r="C126" s="48">
        <f t="shared" si="3"/>
        <v>1378.861331</v>
      </c>
      <c r="D126" s="48">
        <f t="shared" si="1"/>
        <v>1098.408669</v>
      </c>
      <c r="E126" s="48">
        <f t="shared" si="4"/>
        <v>299203.0678</v>
      </c>
      <c r="F126" s="48">
        <f t="shared" si="5"/>
        <v>152796.9322</v>
      </c>
      <c r="G126" s="49">
        <f t="shared" si="2"/>
        <v>0.3403049715</v>
      </c>
    </row>
    <row r="127">
      <c r="A127" s="45" t="s">
        <v>176</v>
      </c>
      <c r="B127" s="47">
        <v>2477.27</v>
      </c>
      <c r="C127" s="48">
        <f t="shared" si="3"/>
        <v>1373.840753</v>
      </c>
      <c r="D127" s="48">
        <f t="shared" si="1"/>
        <v>1103.429247</v>
      </c>
      <c r="E127" s="48">
        <f t="shared" si="4"/>
        <v>298104.6591</v>
      </c>
      <c r="F127" s="48">
        <f t="shared" si="5"/>
        <v>153895.3409</v>
      </c>
      <c r="G127" s="49">
        <f t="shared" si="2"/>
        <v>0.342751316</v>
      </c>
    </row>
    <row r="128">
      <c r="A128" s="45" t="s">
        <v>177</v>
      </c>
      <c r="B128" s="47">
        <v>2477.27</v>
      </c>
      <c r="C128" s="48">
        <f t="shared" si="3"/>
        <v>1368.797226</v>
      </c>
      <c r="D128" s="48">
        <f t="shared" si="1"/>
        <v>1108.472774</v>
      </c>
      <c r="E128" s="48">
        <f t="shared" si="4"/>
        <v>297001.2299</v>
      </c>
      <c r="F128" s="48">
        <f t="shared" si="5"/>
        <v>154998.7701</v>
      </c>
      <c r="G128" s="49">
        <f t="shared" si="2"/>
        <v>0.3452088422</v>
      </c>
    </row>
    <row r="129">
      <c r="A129" s="45" t="s">
        <v>178</v>
      </c>
      <c r="B129" s="47">
        <v>2477.27</v>
      </c>
      <c r="C129" s="48">
        <f t="shared" si="3"/>
        <v>1363.730647</v>
      </c>
      <c r="D129" s="48">
        <f t="shared" si="1"/>
        <v>1113.539353</v>
      </c>
      <c r="E129" s="48">
        <f t="shared" si="4"/>
        <v>295892.7571</v>
      </c>
      <c r="F129" s="48">
        <f t="shared" si="5"/>
        <v>156107.2429</v>
      </c>
      <c r="G129" s="49">
        <f t="shared" si="2"/>
        <v>0.3476776011</v>
      </c>
    </row>
    <row r="130">
      <c r="A130" s="45" t="s">
        <v>179</v>
      </c>
      <c r="B130" s="47">
        <v>2477.27</v>
      </c>
      <c r="C130" s="48">
        <f t="shared" si="3"/>
        <v>1358.64091</v>
      </c>
      <c r="D130" s="48">
        <f t="shared" si="1"/>
        <v>1118.62909</v>
      </c>
      <c r="E130" s="48">
        <f t="shared" si="4"/>
        <v>294779.2177</v>
      </c>
      <c r="F130" s="48">
        <f t="shared" si="5"/>
        <v>157220.7823</v>
      </c>
      <c r="G130" s="49">
        <f t="shared" si="2"/>
        <v>0.3501576442</v>
      </c>
    </row>
    <row r="131">
      <c r="A131" s="45" t="s">
        <v>180</v>
      </c>
      <c r="B131" s="47">
        <v>2477.27</v>
      </c>
      <c r="C131" s="48">
        <f t="shared" si="3"/>
        <v>1353.527908</v>
      </c>
      <c r="D131" s="48">
        <f t="shared" si="1"/>
        <v>1123.742092</v>
      </c>
      <c r="E131" s="48">
        <f t="shared" si="4"/>
        <v>293660.5887</v>
      </c>
      <c r="F131" s="48">
        <f t="shared" si="5"/>
        <v>158339.4113</v>
      </c>
      <c r="G131" s="49">
        <f t="shared" si="2"/>
        <v>0.352649023</v>
      </c>
    </row>
    <row r="132">
      <c r="A132" s="45" t="s">
        <v>181</v>
      </c>
      <c r="B132" s="47">
        <v>2477.27</v>
      </c>
      <c r="C132" s="48">
        <f t="shared" si="3"/>
        <v>1348.391536</v>
      </c>
      <c r="D132" s="48">
        <f t="shared" si="1"/>
        <v>1128.878464</v>
      </c>
      <c r="E132" s="48">
        <f t="shared" si="4"/>
        <v>292536.8466</v>
      </c>
      <c r="F132" s="48">
        <f t="shared" si="5"/>
        <v>159463.1534</v>
      </c>
      <c r="G132" s="49">
        <f t="shared" si="2"/>
        <v>0.3551517894</v>
      </c>
    </row>
    <row r="133">
      <c r="A133" s="45" t="s">
        <v>182</v>
      </c>
      <c r="B133" s="47">
        <v>2477.27</v>
      </c>
      <c r="C133" s="48">
        <f t="shared" si="3"/>
        <v>1343.231687</v>
      </c>
      <c r="D133" s="48">
        <f t="shared" si="1"/>
        <v>1134.038313</v>
      </c>
      <c r="E133" s="48">
        <f t="shared" si="4"/>
        <v>291407.9681</v>
      </c>
      <c r="F133" s="48">
        <f t="shared" si="5"/>
        <v>160592.0319</v>
      </c>
      <c r="G133" s="49">
        <f t="shared" si="2"/>
        <v>0.3576659953</v>
      </c>
    </row>
    <row r="134">
      <c r="A134" s="45" t="s">
        <v>183</v>
      </c>
      <c r="B134" s="47">
        <v>2477.27</v>
      </c>
      <c r="C134" s="48">
        <f t="shared" si="3"/>
        <v>1338.048254</v>
      </c>
      <c r="D134" s="48">
        <f t="shared" si="1"/>
        <v>1139.221746</v>
      </c>
      <c r="E134" s="48">
        <f t="shared" si="4"/>
        <v>290273.9298</v>
      </c>
      <c r="F134" s="48">
        <f t="shared" si="5"/>
        <v>161726.0702</v>
      </c>
      <c r="G134" s="49">
        <f t="shared" si="2"/>
        <v>0.3601916931</v>
      </c>
    </row>
    <row r="135">
      <c r="A135" s="45" t="s">
        <v>184</v>
      </c>
      <c r="B135" s="47">
        <v>2477.27</v>
      </c>
      <c r="C135" s="48">
        <f t="shared" si="3"/>
        <v>1332.841128</v>
      </c>
      <c r="D135" s="48">
        <f t="shared" si="1"/>
        <v>1144.428872</v>
      </c>
      <c r="E135" s="48">
        <f t="shared" si="4"/>
        <v>289134.708</v>
      </c>
      <c r="F135" s="48">
        <f t="shared" si="5"/>
        <v>162865.292</v>
      </c>
      <c r="G135" s="49">
        <f t="shared" si="2"/>
        <v>0.3627289353</v>
      </c>
    </row>
    <row r="136">
      <c r="A136" s="45" t="s">
        <v>185</v>
      </c>
      <c r="B136" s="47">
        <v>2477.27</v>
      </c>
      <c r="C136" s="48">
        <f t="shared" si="3"/>
        <v>1327.610201</v>
      </c>
      <c r="D136" s="48">
        <f t="shared" si="1"/>
        <v>1149.659799</v>
      </c>
      <c r="E136" s="48">
        <f t="shared" si="4"/>
        <v>287990.2792</v>
      </c>
      <c r="F136" s="48">
        <f t="shared" si="5"/>
        <v>164009.7208</v>
      </c>
      <c r="G136" s="49">
        <f t="shared" si="2"/>
        <v>0.3652777747</v>
      </c>
    </row>
    <row r="137">
      <c r="A137" s="45" t="s">
        <v>186</v>
      </c>
      <c r="B137" s="47">
        <v>2477.27</v>
      </c>
      <c r="C137" s="48">
        <f t="shared" si="3"/>
        <v>1322.355365</v>
      </c>
      <c r="D137" s="48">
        <f t="shared" si="1"/>
        <v>1154.914635</v>
      </c>
      <c r="E137" s="48">
        <f t="shared" si="4"/>
        <v>286840.6194</v>
      </c>
      <c r="F137" s="48">
        <f t="shared" si="5"/>
        <v>165159.3806</v>
      </c>
      <c r="G137" s="49">
        <f t="shared" si="2"/>
        <v>0.3678382642</v>
      </c>
    </row>
    <row r="138">
      <c r="A138" s="45" t="s">
        <v>187</v>
      </c>
      <c r="B138" s="47">
        <v>2477.27</v>
      </c>
      <c r="C138" s="48">
        <f t="shared" si="3"/>
        <v>1317.076511</v>
      </c>
      <c r="D138" s="48">
        <f t="shared" si="1"/>
        <v>1160.193489</v>
      </c>
      <c r="E138" s="48">
        <f t="shared" si="4"/>
        <v>285685.7047</v>
      </c>
      <c r="F138" s="48">
        <f t="shared" si="5"/>
        <v>166314.2953</v>
      </c>
      <c r="G138" s="49">
        <f t="shared" si="2"/>
        <v>0.3704104572</v>
      </c>
    </row>
    <row r="139">
      <c r="A139" s="45" t="s">
        <v>188</v>
      </c>
      <c r="B139" s="47">
        <v>2477.27</v>
      </c>
      <c r="C139" s="48">
        <f t="shared" si="3"/>
        <v>1311.773528</v>
      </c>
      <c r="D139" s="48">
        <f t="shared" si="1"/>
        <v>1165.496472</v>
      </c>
      <c r="E139" s="48">
        <f t="shared" si="4"/>
        <v>284525.5112</v>
      </c>
      <c r="F139" s="48">
        <f t="shared" si="5"/>
        <v>167474.4888</v>
      </c>
      <c r="G139" s="49">
        <f t="shared" si="2"/>
        <v>0.372994407</v>
      </c>
    </row>
    <row r="140">
      <c r="A140" s="45" t="s">
        <v>189</v>
      </c>
      <c r="B140" s="47">
        <v>2477.27</v>
      </c>
      <c r="C140" s="48">
        <f t="shared" si="3"/>
        <v>1306.446306</v>
      </c>
      <c r="D140" s="48">
        <f t="shared" si="1"/>
        <v>1170.823694</v>
      </c>
      <c r="E140" s="48">
        <f t="shared" si="4"/>
        <v>283360.0148</v>
      </c>
      <c r="F140" s="48">
        <f t="shared" si="5"/>
        <v>168639.9852</v>
      </c>
      <c r="G140" s="49">
        <f t="shared" si="2"/>
        <v>0.3755901676</v>
      </c>
    </row>
    <row r="141">
      <c r="A141" s="45" t="s">
        <v>190</v>
      </c>
      <c r="B141" s="47">
        <v>2477.27</v>
      </c>
      <c r="C141" s="48">
        <f t="shared" si="3"/>
        <v>1301.094734</v>
      </c>
      <c r="D141" s="48">
        <f t="shared" si="1"/>
        <v>1176.175266</v>
      </c>
      <c r="E141" s="48">
        <f t="shared" si="4"/>
        <v>282189.1911</v>
      </c>
      <c r="F141" s="48">
        <f t="shared" si="5"/>
        <v>169810.8089</v>
      </c>
      <c r="G141" s="49">
        <f t="shared" si="2"/>
        <v>0.3781977927</v>
      </c>
    </row>
    <row r="142">
      <c r="A142" s="45" t="s">
        <v>191</v>
      </c>
      <c r="B142" s="47">
        <v>2477.27</v>
      </c>
      <c r="C142" s="48">
        <f t="shared" si="3"/>
        <v>1295.718702</v>
      </c>
      <c r="D142" s="48">
        <f t="shared" si="1"/>
        <v>1181.551298</v>
      </c>
      <c r="E142" s="48">
        <f t="shared" si="4"/>
        <v>281013.0158</v>
      </c>
      <c r="F142" s="48">
        <f t="shared" si="5"/>
        <v>170986.9842</v>
      </c>
      <c r="G142" s="49">
        <f t="shared" si="2"/>
        <v>0.3808173367</v>
      </c>
    </row>
    <row r="143">
      <c r="A143" s="45" t="s">
        <v>192</v>
      </c>
      <c r="B143" s="47">
        <v>2477.27</v>
      </c>
      <c r="C143" s="48">
        <f t="shared" si="3"/>
        <v>1290.318098</v>
      </c>
      <c r="D143" s="48">
        <f t="shared" si="1"/>
        <v>1186.951902</v>
      </c>
      <c r="E143" s="48">
        <f t="shared" si="4"/>
        <v>279831.4645</v>
      </c>
      <c r="F143" s="48">
        <f t="shared" si="5"/>
        <v>172168.5355</v>
      </c>
      <c r="G143" s="49">
        <f t="shared" si="2"/>
        <v>0.3834488541</v>
      </c>
    </row>
    <row r="144">
      <c r="A144" s="45" t="s">
        <v>193</v>
      </c>
      <c r="B144" s="47">
        <v>2477.27</v>
      </c>
      <c r="C144" s="48">
        <f t="shared" si="3"/>
        <v>1284.892808</v>
      </c>
      <c r="D144" s="48">
        <f t="shared" si="1"/>
        <v>1192.377192</v>
      </c>
      <c r="E144" s="48">
        <f t="shared" si="4"/>
        <v>278644.5126</v>
      </c>
      <c r="F144" s="48">
        <f t="shared" si="5"/>
        <v>173355.4874</v>
      </c>
      <c r="G144" s="49">
        <f t="shared" si="2"/>
        <v>0.3860923995</v>
      </c>
    </row>
    <row r="145">
      <c r="A145" s="45" t="s">
        <v>194</v>
      </c>
      <c r="B145" s="47">
        <v>2477.27</v>
      </c>
      <c r="C145" s="48">
        <f t="shared" si="3"/>
        <v>1279.44272</v>
      </c>
      <c r="D145" s="48">
        <f t="shared" si="1"/>
        <v>1197.82728</v>
      </c>
      <c r="E145" s="48">
        <f t="shared" si="4"/>
        <v>277452.1354</v>
      </c>
      <c r="F145" s="48">
        <f t="shared" si="5"/>
        <v>174547.8646</v>
      </c>
      <c r="G145" s="49">
        <f t="shared" si="2"/>
        <v>0.388748028</v>
      </c>
    </row>
    <row r="146">
      <c r="A146" s="45" t="s">
        <v>195</v>
      </c>
      <c r="B146" s="47">
        <v>2477.27</v>
      </c>
      <c r="C146" s="48">
        <f t="shared" si="3"/>
        <v>1273.967722</v>
      </c>
      <c r="D146" s="48">
        <f t="shared" si="1"/>
        <v>1203.302278</v>
      </c>
      <c r="E146" s="48">
        <f t="shared" si="4"/>
        <v>276254.3081</v>
      </c>
      <c r="F146" s="48">
        <f t="shared" si="5"/>
        <v>175745.6919</v>
      </c>
      <c r="G146" s="49">
        <f t="shared" si="2"/>
        <v>0.3914157948</v>
      </c>
    </row>
    <row r="147">
      <c r="A147" s="45" t="s">
        <v>196</v>
      </c>
      <c r="B147" s="47">
        <v>2477.27</v>
      </c>
      <c r="C147" s="48">
        <f t="shared" si="3"/>
        <v>1268.467698</v>
      </c>
      <c r="D147" s="48">
        <f t="shared" si="1"/>
        <v>1208.802302</v>
      </c>
      <c r="E147" s="48">
        <f t="shared" si="4"/>
        <v>275051.0059</v>
      </c>
      <c r="F147" s="48">
        <f t="shared" si="5"/>
        <v>176948.9941</v>
      </c>
      <c r="G147" s="49">
        <f t="shared" si="2"/>
        <v>0.3940957553</v>
      </c>
    </row>
    <row r="148">
      <c r="A148" s="45" t="s">
        <v>197</v>
      </c>
      <c r="B148" s="47">
        <v>2477.27</v>
      </c>
      <c r="C148" s="48">
        <f t="shared" si="3"/>
        <v>1262.942535</v>
      </c>
      <c r="D148" s="48">
        <f t="shared" si="1"/>
        <v>1214.327465</v>
      </c>
      <c r="E148" s="48">
        <f t="shared" si="4"/>
        <v>273842.2036</v>
      </c>
      <c r="F148" s="48">
        <f t="shared" si="5"/>
        <v>178157.7964</v>
      </c>
      <c r="G148" s="49">
        <f t="shared" si="2"/>
        <v>0.3967879654</v>
      </c>
    </row>
    <row r="149">
      <c r="A149" s="45" t="s">
        <v>198</v>
      </c>
      <c r="B149" s="47">
        <v>2477.27</v>
      </c>
      <c r="C149" s="48">
        <f t="shared" si="3"/>
        <v>1257.392118</v>
      </c>
      <c r="D149" s="48">
        <f t="shared" si="1"/>
        <v>1219.877882</v>
      </c>
      <c r="E149" s="48">
        <f t="shared" si="4"/>
        <v>272627.8761</v>
      </c>
      <c r="F149" s="48">
        <f t="shared" si="5"/>
        <v>179372.1239</v>
      </c>
      <c r="G149" s="49">
        <f t="shared" si="2"/>
        <v>0.3994924809</v>
      </c>
    </row>
    <row r="150">
      <c r="A150" s="45" t="s">
        <v>199</v>
      </c>
      <c r="B150" s="47">
        <v>2477.27</v>
      </c>
      <c r="C150" s="48">
        <f t="shared" si="3"/>
        <v>1251.816331</v>
      </c>
      <c r="D150" s="48">
        <f t="shared" si="1"/>
        <v>1225.453669</v>
      </c>
      <c r="E150" s="48">
        <f t="shared" si="4"/>
        <v>271407.9982</v>
      </c>
      <c r="F150" s="48">
        <f t="shared" si="5"/>
        <v>180592.0018</v>
      </c>
      <c r="G150" s="49">
        <f t="shared" si="2"/>
        <v>0.4022093581</v>
      </c>
    </row>
    <row r="151">
      <c r="A151" s="45" t="s">
        <v>200</v>
      </c>
      <c r="B151" s="47">
        <v>2477.27</v>
      </c>
      <c r="C151" s="48">
        <f t="shared" si="3"/>
        <v>1246.215058</v>
      </c>
      <c r="D151" s="48">
        <f t="shared" si="1"/>
        <v>1231.054942</v>
      </c>
      <c r="E151" s="48">
        <f t="shared" si="4"/>
        <v>270182.5445</v>
      </c>
      <c r="F151" s="48">
        <f t="shared" si="5"/>
        <v>181817.4555</v>
      </c>
      <c r="G151" s="49">
        <f t="shared" si="2"/>
        <v>0.4049386536</v>
      </c>
    </row>
    <row r="152">
      <c r="A152" s="45" t="s">
        <v>201</v>
      </c>
      <c r="B152" s="47">
        <v>2477.27</v>
      </c>
      <c r="C152" s="48">
        <f t="shared" si="3"/>
        <v>1240.588184</v>
      </c>
      <c r="D152" s="48">
        <f t="shared" si="1"/>
        <v>1236.681816</v>
      </c>
      <c r="E152" s="48">
        <f t="shared" si="4"/>
        <v>268951.4896</v>
      </c>
      <c r="F152" s="48">
        <f t="shared" si="5"/>
        <v>183048.5104</v>
      </c>
      <c r="G152" s="49">
        <f t="shared" si="2"/>
        <v>0.4076804241</v>
      </c>
    </row>
    <row r="153">
      <c r="A153" s="45" t="s">
        <v>202</v>
      </c>
      <c r="B153" s="47">
        <v>2477.27</v>
      </c>
      <c r="C153" s="48">
        <f t="shared" si="3"/>
        <v>1234.93559</v>
      </c>
      <c r="D153" s="48">
        <f t="shared" si="1"/>
        <v>1242.33441</v>
      </c>
      <c r="E153" s="48">
        <f t="shared" si="4"/>
        <v>267714.8078</v>
      </c>
      <c r="F153" s="48">
        <f t="shared" si="5"/>
        <v>184285.1922</v>
      </c>
      <c r="G153" s="49">
        <f t="shared" si="2"/>
        <v>0.4104347265</v>
      </c>
    </row>
    <row r="154">
      <c r="A154" s="45" t="s">
        <v>203</v>
      </c>
      <c r="B154" s="47">
        <v>2477.27</v>
      </c>
      <c r="C154" s="48">
        <f t="shared" si="3"/>
        <v>1229.257159</v>
      </c>
      <c r="D154" s="48">
        <f t="shared" si="1"/>
        <v>1248.012841</v>
      </c>
      <c r="E154" s="48">
        <f t="shared" si="4"/>
        <v>266472.4734</v>
      </c>
      <c r="F154" s="48">
        <f t="shared" si="5"/>
        <v>185527.5266</v>
      </c>
      <c r="G154" s="49">
        <f t="shared" si="2"/>
        <v>0.4132016183</v>
      </c>
    </row>
    <row r="155">
      <c r="A155" s="45" t="s">
        <v>204</v>
      </c>
      <c r="B155" s="47">
        <v>2477.27</v>
      </c>
      <c r="C155" s="48">
        <f t="shared" si="3"/>
        <v>1223.552774</v>
      </c>
      <c r="D155" s="48">
        <f t="shared" si="1"/>
        <v>1253.717226</v>
      </c>
      <c r="E155" s="48">
        <f t="shared" si="4"/>
        <v>265224.4605</v>
      </c>
      <c r="F155" s="48">
        <f t="shared" si="5"/>
        <v>186775.5395</v>
      </c>
      <c r="G155" s="49">
        <f t="shared" si="2"/>
        <v>0.4159811569</v>
      </c>
    </row>
    <row r="156">
      <c r="A156" s="45" t="s">
        <v>205</v>
      </c>
      <c r="B156" s="47">
        <v>2477.27</v>
      </c>
      <c r="C156" s="48">
        <f t="shared" si="3"/>
        <v>1217.822315</v>
      </c>
      <c r="D156" s="48">
        <f t="shared" si="1"/>
        <v>1259.447685</v>
      </c>
      <c r="E156" s="48">
        <f t="shared" si="4"/>
        <v>263970.7433</v>
      </c>
      <c r="F156" s="48">
        <f t="shared" si="5"/>
        <v>188029.2567</v>
      </c>
      <c r="G156" s="49">
        <f t="shared" si="2"/>
        <v>0.4187734002</v>
      </c>
    </row>
    <row r="157">
      <c r="A157" s="45" t="s">
        <v>206</v>
      </c>
      <c r="B157" s="47">
        <v>2477.27</v>
      </c>
      <c r="C157" s="48">
        <f t="shared" si="3"/>
        <v>1212.065663</v>
      </c>
      <c r="D157" s="48">
        <f t="shared" si="1"/>
        <v>1265.204337</v>
      </c>
      <c r="E157" s="48">
        <f t="shared" si="4"/>
        <v>262711.2956</v>
      </c>
      <c r="F157" s="48">
        <f t="shared" si="5"/>
        <v>189288.7044</v>
      </c>
      <c r="G157" s="49">
        <f t="shared" si="2"/>
        <v>0.4215784062</v>
      </c>
    </row>
    <row r="158">
      <c r="A158" s="45" t="s">
        <v>207</v>
      </c>
      <c r="B158" s="47">
        <v>2477.27</v>
      </c>
      <c r="C158" s="48">
        <f t="shared" si="3"/>
        <v>1206.282699</v>
      </c>
      <c r="D158" s="48">
        <f t="shared" si="1"/>
        <v>1270.987301</v>
      </c>
      <c r="E158" s="48">
        <f t="shared" si="4"/>
        <v>261446.0913</v>
      </c>
      <c r="F158" s="48">
        <f t="shared" si="5"/>
        <v>190553.9087</v>
      </c>
      <c r="G158" s="49">
        <f t="shared" si="2"/>
        <v>0.4243962332</v>
      </c>
    </row>
    <row r="159">
      <c r="A159" s="45" t="s">
        <v>208</v>
      </c>
      <c r="B159" s="47">
        <v>2477.27</v>
      </c>
      <c r="C159" s="48">
        <f t="shared" si="3"/>
        <v>1200.473302</v>
      </c>
      <c r="D159" s="48">
        <f t="shared" si="1"/>
        <v>1276.796698</v>
      </c>
      <c r="E159" s="48">
        <f t="shared" si="4"/>
        <v>260175.104</v>
      </c>
      <c r="F159" s="48">
        <f t="shared" si="5"/>
        <v>191824.896</v>
      </c>
      <c r="G159" s="49">
        <f t="shared" si="2"/>
        <v>0.4272269399</v>
      </c>
    </row>
    <row r="160">
      <c r="A160" s="45" t="s">
        <v>209</v>
      </c>
      <c r="B160" s="47">
        <v>2477.27</v>
      </c>
      <c r="C160" s="48">
        <f t="shared" si="3"/>
        <v>1194.637352</v>
      </c>
      <c r="D160" s="48">
        <f t="shared" si="1"/>
        <v>1282.632648</v>
      </c>
      <c r="E160" s="48">
        <f t="shared" si="4"/>
        <v>258898.3073</v>
      </c>
      <c r="F160" s="48">
        <f t="shared" si="5"/>
        <v>193101.6927</v>
      </c>
      <c r="G160" s="49">
        <f t="shared" si="2"/>
        <v>0.4300705851</v>
      </c>
    </row>
    <row r="161">
      <c r="A161" s="45" t="s">
        <v>210</v>
      </c>
      <c r="B161" s="47">
        <v>2477.27</v>
      </c>
      <c r="C161" s="48">
        <f t="shared" si="3"/>
        <v>1188.774728</v>
      </c>
      <c r="D161" s="48">
        <f t="shared" si="1"/>
        <v>1288.495272</v>
      </c>
      <c r="E161" s="48">
        <f t="shared" si="4"/>
        <v>257615.6746</v>
      </c>
      <c r="F161" s="48">
        <f t="shared" si="5"/>
        <v>194384.3254</v>
      </c>
      <c r="G161" s="49">
        <f t="shared" si="2"/>
        <v>0.432927228</v>
      </c>
    </row>
    <row r="162">
      <c r="A162" s="45" t="s">
        <v>211</v>
      </c>
      <c r="B162" s="47">
        <v>2477.27</v>
      </c>
      <c r="C162" s="48">
        <f t="shared" si="3"/>
        <v>1182.885306</v>
      </c>
      <c r="D162" s="48">
        <f t="shared" si="1"/>
        <v>1294.384694</v>
      </c>
      <c r="E162" s="48">
        <f t="shared" si="4"/>
        <v>256327.1794</v>
      </c>
      <c r="F162" s="48">
        <f t="shared" si="5"/>
        <v>195672.8206</v>
      </c>
      <c r="G162" s="49">
        <f t="shared" si="2"/>
        <v>0.4357969279</v>
      </c>
    </row>
    <row r="163">
      <c r="A163" s="45" t="s">
        <v>212</v>
      </c>
      <c r="B163" s="47">
        <v>2477.27</v>
      </c>
      <c r="C163" s="48">
        <f t="shared" si="3"/>
        <v>1176.968965</v>
      </c>
      <c r="D163" s="48">
        <f t="shared" si="1"/>
        <v>1300.301035</v>
      </c>
      <c r="E163" s="48">
        <f t="shared" si="4"/>
        <v>255032.7947</v>
      </c>
      <c r="F163" s="48">
        <f t="shared" si="5"/>
        <v>196967.2053</v>
      </c>
      <c r="G163" s="49">
        <f t="shared" si="2"/>
        <v>0.4386797446</v>
      </c>
    </row>
    <row r="164">
      <c r="A164" s="45" t="s">
        <v>213</v>
      </c>
      <c r="B164" s="47">
        <v>2477.27</v>
      </c>
      <c r="C164" s="48">
        <f t="shared" si="3"/>
        <v>1171.025582</v>
      </c>
      <c r="D164" s="48">
        <f t="shared" si="1"/>
        <v>1306.244418</v>
      </c>
      <c r="E164" s="48">
        <f t="shared" si="4"/>
        <v>253732.4936</v>
      </c>
      <c r="F164" s="48">
        <f t="shared" si="5"/>
        <v>198267.5064</v>
      </c>
      <c r="G164" s="49">
        <f t="shared" si="2"/>
        <v>0.441575738</v>
      </c>
    </row>
    <row r="165">
      <c r="A165" s="45" t="s">
        <v>214</v>
      </c>
      <c r="B165" s="47">
        <v>2477.27</v>
      </c>
      <c r="C165" s="48">
        <f t="shared" si="3"/>
        <v>1165.055033</v>
      </c>
      <c r="D165" s="48">
        <f t="shared" si="1"/>
        <v>1312.214967</v>
      </c>
      <c r="E165" s="48">
        <f t="shared" si="4"/>
        <v>252426.2492</v>
      </c>
      <c r="F165" s="48">
        <f t="shared" si="5"/>
        <v>199573.7508</v>
      </c>
      <c r="G165" s="49">
        <f t="shared" si="2"/>
        <v>0.4444849683</v>
      </c>
    </row>
    <row r="166">
      <c r="A166" s="45" t="s">
        <v>215</v>
      </c>
      <c r="B166" s="47">
        <v>2477.27</v>
      </c>
      <c r="C166" s="48">
        <f t="shared" si="3"/>
        <v>1159.057194</v>
      </c>
      <c r="D166" s="48">
        <f t="shared" si="1"/>
        <v>1318.212806</v>
      </c>
      <c r="E166" s="48">
        <f t="shared" si="4"/>
        <v>251114.0343</v>
      </c>
      <c r="F166" s="48">
        <f t="shared" si="5"/>
        <v>200885.9657</v>
      </c>
      <c r="G166" s="49">
        <f t="shared" si="2"/>
        <v>0.4474074961</v>
      </c>
    </row>
    <row r="167">
      <c r="A167" s="45" t="s">
        <v>216</v>
      </c>
      <c r="B167" s="47">
        <v>2477.27</v>
      </c>
      <c r="C167" s="48">
        <f t="shared" si="3"/>
        <v>1153.031941</v>
      </c>
      <c r="D167" s="48">
        <f t="shared" si="1"/>
        <v>1324.238059</v>
      </c>
      <c r="E167" s="48">
        <f t="shared" si="4"/>
        <v>249795.8214</v>
      </c>
      <c r="F167" s="48">
        <f t="shared" si="5"/>
        <v>202204.1786</v>
      </c>
      <c r="G167" s="49">
        <f t="shared" si="2"/>
        <v>0.4503433821</v>
      </c>
    </row>
    <row r="168">
      <c r="A168" s="45" t="s">
        <v>217</v>
      </c>
      <c r="B168" s="47">
        <v>2477.27</v>
      </c>
      <c r="C168" s="48">
        <f t="shared" si="3"/>
        <v>1146.979147</v>
      </c>
      <c r="D168" s="48">
        <f t="shared" si="1"/>
        <v>1330.290853</v>
      </c>
      <c r="E168" s="48">
        <f t="shared" si="4"/>
        <v>248471.5834</v>
      </c>
      <c r="F168" s="48">
        <f t="shared" si="5"/>
        <v>203528.4166</v>
      </c>
      <c r="G168" s="49">
        <f t="shared" si="2"/>
        <v>0.4532926873</v>
      </c>
    </row>
    <row r="169">
      <c r="A169" s="45" t="s">
        <v>218</v>
      </c>
      <c r="B169" s="47">
        <v>2477.27</v>
      </c>
      <c r="C169" s="48">
        <f t="shared" si="3"/>
        <v>1140.898687</v>
      </c>
      <c r="D169" s="48">
        <f t="shared" si="1"/>
        <v>1336.371313</v>
      </c>
      <c r="E169" s="48">
        <f t="shared" si="4"/>
        <v>247141.2925</v>
      </c>
      <c r="F169" s="48">
        <f t="shared" si="5"/>
        <v>204858.7075</v>
      </c>
      <c r="G169" s="49">
        <f t="shared" si="2"/>
        <v>0.4562554732</v>
      </c>
    </row>
    <row r="170">
      <c r="A170" s="45" t="s">
        <v>219</v>
      </c>
      <c r="B170" s="47">
        <v>2477.27</v>
      </c>
      <c r="C170" s="48">
        <f t="shared" si="3"/>
        <v>1134.790435</v>
      </c>
      <c r="D170" s="48">
        <f t="shared" si="1"/>
        <v>1342.479565</v>
      </c>
      <c r="E170" s="48">
        <f t="shared" si="4"/>
        <v>245804.9212</v>
      </c>
      <c r="F170" s="48">
        <f t="shared" si="5"/>
        <v>206195.0788</v>
      </c>
      <c r="G170" s="49">
        <f t="shared" si="2"/>
        <v>0.4592318013</v>
      </c>
    </row>
    <row r="171">
      <c r="A171" s="45" t="s">
        <v>220</v>
      </c>
      <c r="B171" s="47">
        <v>2477.27</v>
      </c>
      <c r="C171" s="48">
        <f t="shared" si="3"/>
        <v>1128.654263</v>
      </c>
      <c r="D171" s="48">
        <f t="shared" si="1"/>
        <v>1348.615737</v>
      </c>
      <c r="E171" s="48">
        <f t="shared" si="4"/>
        <v>244462.4417</v>
      </c>
      <c r="F171" s="48">
        <f t="shared" si="5"/>
        <v>207537.5583</v>
      </c>
      <c r="G171" s="49">
        <f t="shared" si="2"/>
        <v>0.4622217335</v>
      </c>
    </row>
    <row r="172">
      <c r="A172" s="45" t="s">
        <v>221</v>
      </c>
      <c r="B172" s="47">
        <v>2477.27</v>
      </c>
      <c r="C172" s="48">
        <f t="shared" si="3"/>
        <v>1122.490045</v>
      </c>
      <c r="D172" s="48">
        <f t="shared" si="1"/>
        <v>1354.779955</v>
      </c>
      <c r="E172" s="48">
        <f t="shared" si="4"/>
        <v>243113.8259</v>
      </c>
      <c r="F172" s="48">
        <f t="shared" si="5"/>
        <v>208886.1741</v>
      </c>
      <c r="G172" s="49">
        <f t="shared" si="2"/>
        <v>0.465225332</v>
      </c>
    </row>
    <row r="173">
      <c r="A173" s="45" t="s">
        <v>222</v>
      </c>
      <c r="B173" s="47">
        <v>2477.27</v>
      </c>
      <c r="C173" s="48">
        <f t="shared" si="3"/>
        <v>1116.297651</v>
      </c>
      <c r="D173" s="48">
        <f t="shared" si="1"/>
        <v>1360.972349</v>
      </c>
      <c r="E173" s="48">
        <f t="shared" si="4"/>
        <v>241759.046</v>
      </c>
      <c r="F173" s="48">
        <f t="shared" si="5"/>
        <v>210240.954</v>
      </c>
      <c r="G173" s="49">
        <f t="shared" si="2"/>
        <v>0.4682426593</v>
      </c>
    </row>
    <row r="174">
      <c r="A174" s="45" t="s">
        <v>223</v>
      </c>
      <c r="B174" s="47">
        <v>2477.27</v>
      </c>
      <c r="C174" s="48">
        <f t="shared" si="3"/>
        <v>1110.076953</v>
      </c>
      <c r="D174" s="48">
        <f t="shared" si="1"/>
        <v>1367.193047</v>
      </c>
      <c r="E174" s="48">
        <f t="shared" si="4"/>
        <v>240398.0736</v>
      </c>
      <c r="F174" s="48">
        <f t="shared" si="5"/>
        <v>211601.9264</v>
      </c>
      <c r="G174" s="49">
        <f t="shared" si="2"/>
        <v>0.4712737781</v>
      </c>
    </row>
    <row r="175">
      <c r="A175" s="45" t="s">
        <v>224</v>
      </c>
      <c r="B175" s="47">
        <v>2477.27</v>
      </c>
      <c r="C175" s="48">
        <f t="shared" si="3"/>
        <v>1103.827821</v>
      </c>
      <c r="D175" s="48">
        <f t="shared" si="1"/>
        <v>1373.442179</v>
      </c>
      <c r="E175" s="48">
        <f t="shared" si="4"/>
        <v>239030.8806</v>
      </c>
      <c r="F175" s="48">
        <f t="shared" si="5"/>
        <v>212969.1194</v>
      </c>
      <c r="G175" s="49">
        <f t="shared" si="2"/>
        <v>0.4743187515</v>
      </c>
    </row>
    <row r="176">
      <c r="A176" s="45" t="s">
        <v>225</v>
      </c>
      <c r="B176" s="47">
        <v>2477.27</v>
      </c>
      <c r="C176" s="48">
        <f t="shared" si="3"/>
        <v>1097.550127</v>
      </c>
      <c r="D176" s="48">
        <f t="shared" si="1"/>
        <v>1379.719873</v>
      </c>
      <c r="E176" s="48">
        <f t="shared" si="4"/>
        <v>237657.4384</v>
      </c>
      <c r="F176" s="48">
        <f t="shared" si="5"/>
        <v>214342.5616</v>
      </c>
      <c r="G176" s="49">
        <f t="shared" si="2"/>
        <v>0.4773776428</v>
      </c>
    </row>
    <row r="177">
      <c r="A177" s="45" t="s">
        <v>226</v>
      </c>
      <c r="B177" s="47">
        <v>2477.27</v>
      </c>
      <c r="C177" s="48">
        <f t="shared" si="3"/>
        <v>1091.243738</v>
      </c>
      <c r="D177" s="48">
        <f t="shared" si="1"/>
        <v>1386.026262</v>
      </c>
      <c r="E177" s="48">
        <f t="shared" si="4"/>
        <v>236277.7185</v>
      </c>
      <c r="F177" s="48">
        <f t="shared" si="5"/>
        <v>215722.2815</v>
      </c>
      <c r="G177" s="49">
        <f t="shared" si="2"/>
        <v>0.4804505156</v>
      </c>
    </row>
    <row r="178">
      <c r="A178" s="45" t="s">
        <v>227</v>
      </c>
      <c r="B178" s="47">
        <v>2477.27</v>
      </c>
      <c r="C178" s="48">
        <f t="shared" si="3"/>
        <v>1084.908524</v>
      </c>
      <c r="D178" s="48">
        <f t="shared" si="1"/>
        <v>1392.361476</v>
      </c>
      <c r="E178" s="48">
        <f t="shared" si="4"/>
        <v>234891.6923</v>
      </c>
      <c r="F178" s="48">
        <f t="shared" si="5"/>
        <v>217108.3077</v>
      </c>
      <c r="G178" s="49">
        <f t="shared" si="2"/>
        <v>0.4835374337</v>
      </c>
    </row>
    <row r="179">
      <c r="A179" s="45" t="s">
        <v>228</v>
      </c>
      <c r="B179" s="47">
        <v>2477.27</v>
      </c>
      <c r="C179" s="48">
        <f t="shared" si="3"/>
        <v>1078.544354</v>
      </c>
      <c r="D179" s="48">
        <f t="shared" si="1"/>
        <v>1398.725646</v>
      </c>
      <c r="E179" s="48">
        <f t="shared" si="4"/>
        <v>233499.3308</v>
      </c>
      <c r="F179" s="48">
        <f t="shared" si="5"/>
        <v>218500.6692</v>
      </c>
      <c r="G179" s="49">
        <f t="shared" si="2"/>
        <v>0.4866384615</v>
      </c>
    </row>
    <row r="180">
      <c r="A180" s="45" t="s">
        <v>229</v>
      </c>
      <c r="B180" s="47">
        <v>2477.27</v>
      </c>
      <c r="C180" s="48">
        <f t="shared" si="3"/>
        <v>1072.151094</v>
      </c>
      <c r="D180" s="48">
        <f t="shared" si="1"/>
        <v>1405.118906</v>
      </c>
      <c r="E180" s="48">
        <f t="shared" si="4"/>
        <v>232100.6051</v>
      </c>
      <c r="F180" s="48">
        <f t="shared" si="5"/>
        <v>219899.3949</v>
      </c>
      <c r="G180" s="49">
        <f t="shared" si="2"/>
        <v>0.4897536634</v>
      </c>
    </row>
    <row r="181">
      <c r="A181" s="45" t="s">
        <v>230</v>
      </c>
      <c r="B181" s="47">
        <v>2477.27</v>
      </c>
      <c r="C181" s="48">
        <f t="shared" si="3"/>
        <v>1065.728612</v>
      </c>
      <c r="D181" s="48">
        <f t="shared" si="1"/>
        <v>1411.541388</v>
      </c>
      <c r="E181" s="48">
        <f t="shared" si="4"/>
        <v>230695.4862</v>
      </c>
      <c r="F181" s="48">
        <f t="shared" si="5"/>
        <v>221304.5138</v>
      </c>
      <c r="G181" s="49">
        <f t="shared" si="2"/>
        <v>0.4928831042</v>
      </c>
    </row>
    <row r="182">
      <c r="A182" s="45" t="s">
        <v>231</v>
      </c>
      <c r="B182" s="47">
        <v>2477.27</v>
      </c>
      <c r="C182" s="48">
        <f t="shared" si="3"/>
        <v>1059.276774</v>
      </c>
      <c r="D182" s="48">
        <f t="shared" si="1"/>
        <v>1417.993226</v>
      </c>
      <c r="E182" s="48">
        <f t="shared" si="4"/>
        <v>229283.9448</v>
      </c>
      <c r="F182" s="48">
        <f t="shared" si="5"/>
        <v>222716.0552</v>
      </c>
      <c r="G182" s="49">
        <f t="shared" si="2"/>
        <v>0.4960268489</v>
      </c>
    </row>
    <row r="183">
      <c r="A183" s="45" t="s">
        <v>232</v>
      </c>
      <c r="B183" s="47">
        <v>2477.27</v>
      </c>
      <c r="C183" s="48">
        <f t="shared" si="3"/>
        <v>1052.795447</v>
      </c>
      <c r="D183" s="48">
        <f t="shared" si="1"/>
        <v>1424.474553</v>
      </c>
      <c r="E183" s="48">
        <f t="shared" si="4"/>
        <v>227865.9516</v>
      </c>
      <c r="F183" s="48">
        <f t="shared" si="5"/>
        <v>224134.0484</v>
      </c>
      <c r="G183" s="49">
        <f t="shared" si="2"/>
        <v>0.499184963</v>
      </c>
    </row>
    <row r="184">
      <c r="A184" s="45" t="s">
        <v>233</v>
      </c>
      <c r="B184" s="47">
        <v>2477.27</v>
      </c>
      <c r="C184" s="48">
        <f t="shared" si="3"/>
        <v>1046.284494</v>
      </c>
      <c r="D184" s="48">
        <f t="shared" si="1"/>
        <v>1430.985506</v>
      </c>
      <c r="E184" s="48">
        <f t="shared" si="4"/>
        <v>226441.4771</v>
      </c>
      <c r="F184" s="48">
        <f t="shared" si="5"/>
        <v>225558.5229</v>
      </c>
      <c r="G184" s="49">
        <f t="shared" si="2"/>
        <v>0.5023575121</v>
      </c>
    </row>
    <row r="185">
      <c r="A185" s="45" t="s">
        <v>234</v>
      </c>
      <c r="B185" s="47">
        <v>2477.27</v>
      </c>
      <c r="C185" s="48">
        <f t="shared" si="3"/>
        <v>1039.743782</v>
      </c>
      <c r="D185" s="48">
        <f t="shared" si="1"/>
        <v>1437.526218</v>
      </c>
      <c r="E185" s="48">
        <f t="shared" si="4"/>
        <v>225010.4916</v>
      </c>
      <c r="F185" s="48">
        <f t="shared" si="5"/>
        <v>226989.5084</v>
      </c>
      <c r="G185" s="49">
        <f t="shared" si="2"/>
        <v>0.5055445622</v>
      </c>
    </row>
    <row r="186">
      <c r="A186" s="45" t="s">
        <v>235</v>
      </c>
      <c r="B186" s="47">
        <v>2477.27</v>
      </c>
      <c r="C186" s="48">
        <f t="shared" si="3"/>
        <v>1033.173174</v>
      </c>
      <c r="D186" s="48">
        <f t="shared" si="1"/>
        <v>1444.096826</v>
      </c>
      <c r="E186" s="48">
        <f t="shared" si="4"/>
        <v>223572.9653</v>
      </c>
      <c r="F186" s="48">
        <f t="shared" si="5"/>
        <v>228427.0347</v>
      </c>
      <c r="G186" s="49">
        <f t="shared" si="2"/>
        <v>0.5087461797</v>
      </c>
    </row>
    <row r="187">
      <c r="A187" s="45" t="s">
        <v>236</v>
      </c>
      <c r="B187" s="47">
        <v>2477.27</v>
      </c>
      <c r="C187" s="48">
        <f t="shared" si="3"/>
        <v>1026.572532</v>
      </c>
      <c r="D187" s="48">
        <f t="shared" si="1"/>
        <v>1450.697468</v>
      </c>
      <c r="E187" s="48">
        <f t="shared" si="4"/>
        <v>222128.8685</v>
      </c>
      <c r="F187" s="48">
        <f t="shared" si="5"/>
        <v>229871.1315</v>
      </c>
      <c r="G187" s="49">
        <f t="shared" si="2"/>
        <v>0.5119624309</v>
      </c>
    </row>
    <row r="188">
      <c r="A188" s="45" t="s">
        <v>237</v>
      </c>
      <c r="B188" s="47">
        <v>2477.27</v>
      </c>
      <c r="C188" s="48">
        <f t="shared" si="3"/>
        <v>1019.941721</v>
      </c>
      <c r="D188" s="48">
        <f t="shared" si="1"/>
        <v>1457.328279</v>
      </c>
      <c r="E188" s="48">
        <f t="shared" si="4"/>
        <v>220678.171</v>
      </c>
      <c r="F188" s="48">
        <f t="shared" si="5"/>
        <v>231321.829</v>
      </c>
      <c r="G188" s="49">
        <f t="shared" si="2"/>
        <v>0.515193383</v>
      </c>
    </row>
    <row r="189">
      <c r="A189" s="45" t="s">
        <v>238</v>
      </c>
      <c r="B189" s="47">
        <v>2477.27</v>
      </c>
      <c r="C189" s="48">
        <f t="shared" si="3"/>
        <v>1013.280602</v>
      </c>
      <c r="D189" s="48">
        <f t="shared" si="1"/>
        <v>1463.989398</v>
      </c>
      <c r="E189" s="48">
        <f t="shared" si="4"/>
        <v>219220.8428</v>
      </c>
      <c r="F189" s="48">
        <f t="shared" si="5"/>
        <v>232779.1572</v>
      </c>
      <c r="G189" s="49">
        <f t="shared" si="2"/>
        <v>0.518439103</v>
      </c>
    </row>
    <row r="190">
      <c r="A190" s="45" t="s">
        <v>239</v>
      </c>
      <c r="B190" s="47">
        <v>2477.27</v>
      </c>
      <c r="C190" s="48">
        <f t="shared" si="3"/>
        <v>1006.589036</v>
      </c>
      <c r="D190" s="48">
        <f t="shared" si="1"/>
        <v>1470.680964</v>
      </c>
      <c r="E190" s="48">
        <f t="shared" si="4"/>
        <v>217756.8534</v>
      </c>
      <c r="F190" s="48">
        <f t="shared" si="5"/>
        <v>234243.1466</v>
      </c>
      <c r="G190" s="49">
        <f t="shared" si="2"/>
        <v>0.5216996584</v>
      </c>
    </row>
    <row r="191">
      <c r="A191" s="45" t="s">
        <v>240</v>
      </c>
      <c r="B191" s="47">
        <v>2477.27</v>
      </c>
      <c r="C191" s="48">
        <f t="shared" si="3"/>
        <v>999.866885</v>
      </c>
      <c r="D191" s="48">
        <f t="shared" si="1"/>
        <v>1477.403115</v>
      </c>
      <c r="E191" s="48">
        <f t="shared" si="4"/>
        <v>216286.1724</v>
      </c>
      <c r="F191" s="48">
        <f t="shared" si="5"/>
        <v>235713.8276</v>
      </c>
      <c r="G191" s="49">
        <f t="shared" si="2"/>
        <v>0.5249751171</v>
      </c>
    </row>
    <row r="192">
      <c r="A192" s="45" t="s">
        <v>241</v>
      </c>
      <c r="B192" s="47">
        <v>2477.27</v>
      </c>
      <c r="C192" s="48">
        <f t="shared" si="3"/>
        <v>993.1140083</v>
      </c>
      <c r="D192" s="48">
        <f t="shared" si="1"/>
        <v>1484.155992</v>
      </c>
      <c r="E192" s="48">
        <f t="shared" si="4"/>
        <v>214808.7693</v>
      </c>
      <c r="F192" s="48">
        <f t="shared" si="5"/>
        <v>237191.2307</v>
      </c>
      <c r="G192" s="49">
        <f t="shared" si="2"/>
        <v>0.5282655472</v>
      </c>
    </row>
    <row r="193">
      <c r="A193" s="45" t="s">
        <v>242</v>
      </c>
      <c r="B193" s="47">
        <v>2477.27</v>
      </c>
      <c r="C193" s="48">
        <f t="shared" si="3"/>
        <v>986.3302656</v>
      </c>
      <c r="D193" s="48">
        <f t="shared" si="1"/>
        <v>1490.939734</v>
      </c>
      <c r="E193" s="48">
        <f t="shared" si="4"/>
        <v>213324.6133</v>
      </c>
      <c r="F193" s="48">
        <f t="shared" si="5"/>
        <v>238675.3867</v>
      </c>
      <c r="G193" s="49">
        <f t="shared" si="2"/>
        <v>0.5315710172</v>
      </c>
    </row>
    <row r="194">
      <c r="A194" s="45" t="s">
        <v>243</v>
      </c>
      <c r="B194" s="47">
        <v>2477.27</v>
      </c>
      <c r="C194" s="48">
        <f t="shared" si="3"/>
        <v>979.515516</v>
      </c>
      <c r="D194" s="48">
        <f t="shared" si="1"/>
        <v>1497.754484</v>
      </c>
      <c r="E194" s="48">
        <f t="shared" si="4"/>
        <v>211833.6736</v>
      </c>
      <c r="F194" s="48">
        <f t="shared" si="5"/>
        <v>240166.3264</v>
      </c>
      <c r="G194" s="49">
        <f t="shared" si="2"/>
        <v>0.5348915956</v>
      </c>
    </row>
    <row r="195">
      <c r="A195" s="45" t="s">
        <v>244</v>
      </c>
      <c r="B195" s="47">
        <v>2477.27</v>
      </c>
      <c r="C195" s="48">
        <f t="shared" si="3"/>
        <v>972.6696178</v>
      </c>
      <c r="D195" s="48">
        <f t="shared" si="1"/>
        <v>1504.600382</v>
      </c>
      <c r="E195" s="48">
        <f t="shared" si="4"/>
        <v>210335.9191</v>
      </c>
      <c r="F195" s="48">
        <f t="shared" si="5"/>
        <v>241664.0809</v>
      </c>
      <c r="G195" s="49">
        <f t="shared" si="2"/>
        <v>0.5382273517</v>
      </c>
    </row>
    <row r="196">
      <c r="A196" s="45" t="s">
        <v>245</v>
      </c>
      <c r="B196" s="47">
        <v>2477.27</v>
      </c>
      <c r="C196" s="48">
        <f t="shared" si="3"/>
        <v>965.7924284</v>
      </c>
      <c r="D196" s="48">
        <f t="shared" si="1"/>
        <v>1511.477572</v>
      </c>
      <c r="E196" s="48">
        <f t="shared" si="4"/>
        <v>208831.3187</v>
      </c>
      <c r="F196" s="48">
        <f t="shared" si="5"/>
        <v>243168.6813</v>
      </c>
      <c r="G196" s="49">
        <f t="shared" si="2"/>
        <v>0.5415783548</v>
      </c>
    </row>
    <row r="197">
      <c r="A197" s="45" t="s">
        <v>246</v>
      </c>
      <c r="B197" s="47">
        <v>2477.27</v>
      </c>
      <c r="C197" s="48">
        <f t="shared" si="3"/>
        <v>958.883805</v>
      </c>
      <c r="D197" s="48">
        <f t="shared" si="1"/>
        <v>1518.386195</v>
      </c>
      <c r="E197" s="48">
        <f t="shared" si="4"/>
        <v>207319.8411</v>
      </c>
      <c r="F197" s="48">
        <f t="shared" si="5"/>
        <v>244680.1589</v>
      </c>
      <c r="G197" s="49">
        <f t="shared" si="2"/>
        <v>0.5449446746</v>
      </c>
    </row>
    <row r="198">
      <c r="A198" s="45" t="s">
        <v>247</v>
      </c>
      <c r="B198" s="47">
        <v>2477.27</v>
      </c>
      <c r="C198" s="48">
        <f t="shared" si="3"/>
        <v>951.9436038</v>
      </c>
      <c r="D198" s="48">
        <f t="shared" si="1"/>
        <v>1525.326396</v>
      </c>
      <c r="E198" s="48">
        <f t="shared" si="4"/>
        <v>205801.4549</v>
      </c>
      <c r="F198" s="48">
        <f t="shared" si="5"/>
        <v>246198.5451</v>
      </c>
      <c r="G198" s="49">
        <f t="shared" si="2"/>
        <v>0.548326381</v>
      </c>
    </row>
    <row r="199">
      <c r="A199" s="45" t="s">
        <v>248</v>
      </c>
      <c r="B199" s="47">
        <v>2477.27</v>
      </c>
      <c r="C199" s="48">
        <f t="shared" si="3"/>
        <v>944.9716805</v>
      </c>
      <c r="D199" s="48">
        <f t="shared" si="1"/>
        <v>1532.298319</v>
      </c>
      <c r="E199" s="48">
        <f t="shared" si="4"/>
        <v>204276.1285</v>
      </c>
      <c r="F199" s="48">
        <f t="shared" si="5"/>
        <v>247723.8715</v>
      </c>
      <c r="G199" s="49">
        <f t="shared" si="2"/>
        <v>0.5517235445</v>
      </c>
    </row>
    <row r="200">
      <c r="A200" s="45" t="s">
        <v>249</v>
      </c>
      <c r="B200" s="47">
        <v>2477.27</v>
      </c>
      <c r="C200" s="48">
        <f t="shared" si="3"/>
        <v>937.9678902</v>
      </c>
      <c r="D200" s="48">
        <f t="shared" si="1"/>
        <v>1539.30211</v>
      </c>
      <c r="E200" s="48">
        <f t="shared" si="4"/>
        <v>202743.8302</v>
      </c>
      <c r="F200" s="48">
        <f t="shared" si="5"/>
        <v>249256.1698</v>
      </c>
      <c r="G200" s="49">
        <f t="shared" si="2"/>
        <v>0.5551362356</v>
      </c>
    </row>
    <row r="201">
      <c r="A201" s="45" t="s">
        <v>250</v>
      </c>
      <c r="B201" s="47">
        <v>2477.27</v>
      </c>
      <c r="C201" s="48">
        <f t="shared" si="3"/>
        <v>930.932087</v>
      </c>
      <c r="D201" s="48">
        <f t="shared" si="1"/>
        <v>1546.337913</v>
      </c>
      <c r="E201" s="48">
        <f t="shared" si="4"/>
        <v>201204.5281</v>
      </c>
      <c r="F201" s="48">
        <f t="shared" si="5"/>
        <v>250795.4719</v>
      </c>
      <c r="G201" s="49">
        <f t="shared" si="2"/>
        <v>0.5585645254</v>
      </c>
    </row>
    <row r="202">
      <c r="A202" s="45" t="s">
        <v>251</v>
      </c>
      <c r="B202" s="47">
        <v>2477.27</v>
      </c>
      <c r="C202" s="48">
        <f t="shared" si="3"/>
        <v>923.8641249</v>
      </c>
      <c r="D202" s="48">
        <f t="shared" si="1"/>
        <v>1553.405875</v>
      </c>
      <c r="E202" s="48">
        <f t="shared" si="4"/>
        <v>199658.1902</v>
      </c>
      <c r="F202" s="48">
        <f t="shared" si="5"/>
        <v>252341.8098</v>
      </c>
      <c r="G202" s="49">
        <f t="shared" si="2"/>
        <v>0.5620084851</v>
      </c>
    </row>
    <row r="203">
      <c r="A203" s="45" t="s">
        <v>252</v>
      </c>
      <c r="B203" s="47">
        <v>2477.27</v>
      </c>
      <c r="C203" s="48">
        <f t="shared" si="3"/>
        <v>916.7638566</v>
      </c>
      <c r="D203" s="48">
        <f t="shared" si="1"/>
        <v>1560.506143</v>
      </c>
      <c r="E203" s="48">
        <f t="shared" si="4"/>
        <v>198104.7843</v>
      </c>
      <c r="F203" s="48">
        <f t="shared" si="5"/>
        <v>253895.2157</v>
      </c>
      <c r="G203" s="49">
        <f t="shared" si="2"/>
        <v>0.5654681864</v>
      </c>
    </row>
    <row r="204">
      <c r="A204" s="45" t="s">
        <v>253</v>
      </c>
      <c r="B204" s="47">
        <v>2477.27</v>
      </c>
      <c r="C204" s="48">
        <f t="shared" si="3"/>
        <v>909.6311346</v>
      </c>
      <c r="D204" s="48">
        <f t="shared" si="1"/>
        <v>1567.638865</v>
      </c>
      <c r="E204" s="48">
        <f t="shared" si="4"/>
        <v>196544.2782</v>
      </c>
      <c r="F204" s="48">
        <f t="shared" si="5"/>
        <v>255455.7218</v>
      </c>
      <c r="G204" s="49">
        <f t="shared" si="2"/>
        <v>0.5689437012</v>
      </c>
    </row>
    <row r="205">
      <c r="A205" s="45" t="s">
        <v>254</v>
      </c>
      <c r="B205" s="47">
        <v>2477.27</v>
      </c>
      <c r="C205" s="48">
        <f t="shared" si="3"/>
        <v>902.4658106</v>
      </c>
      <c r="D205" s="48">
        <f t="shared" si="1"/>
        <v>1574.804189</v>
      </c>
      <c r="E205" s="48">
        <f t="shared" si="4"/>
        <v>194976.6393</v>
      </c>
      <c r="F205" s="48">
        <f t="shared" si="5"/>
        <v>257023.3607</v>
      </c>
      <c r="G205" s="49">
        <f t="shared" si="2"/>
        <v>0.5724351018</v>
      </c>
    </row>
    <row r="206">
      <c r="A206" s="45" t="s">
        <v>255</v>
      </c>
      <c r="B206" s="47">
        <v>2477.27</v>
      </c>
      <c r="C206" s="48">
        <f t="shared" si="3"/>
        <v>895.2677355</v>
      </c>
      <c r="D206" s="48">
        <f t="shared" si="1"/>
        <v>1582.002265</v>
      </c>
      <c r="E206" s="48">
        <f t="shared" si="4"/>
        <v>193401.8351</v>
      </c>
      <c r="F206" s="48">
        <f t="shared" si="5"/>
        <v>258598.1649</v>
      </c>
      <c r="G206" s="49">
        <f t="shared" si="2"/>
        <v>0.5759424608</v>
      </c>
    </row>
    <row r="207">
      <c r="A207" s="45" t="s">
        <v>256</v>
      </c>
      <c r="B207" s="47">
        <v>2477.27</v>
      </c>
      <c r="C207" s="48">
        <f t="shared" si="3"/>
        <v>888.0367596</v>
      </c>
      <c r="D207" s="48">
        <f t="shared" si="1"/>
        <v>1589.23324</v>
      </c>
      <c r="E207" s="48">
        <f t="shared" si="4"/>
        <v>191819.8328</v>
      </c>
      <c r="F207" s="48">
        <f t="shared" si="5"/>
        <v>260180.1672</v>
      </c>
      <c r="G207" s="49">
        <f t="shared" si="2"/>
        <v>0.5794658511</v>
      </c>
    </row>
    <row r="208">
      <c r="A208" s="45" t="s">
        <v>257</v>
      </c>
      <c r="B208" s="47">
        <v>2477.27</v>
      </c>
      <c r="C208" s="48">
        <f t="shared" si="3"/>
        <v>880.7727325</v>
      </c>
      <c r="D208" s="48">
        <f t="shared" si="1"/>
        <v>1596.497267</v>
      </c>
      <c r="E208" s="48">
        <f t="shared" si="4"/>
        <v>190230.5996</v>
      </c>
      <c r="F208" s="48">
        <f t="shared" si="5"/>
        <v>261769.4004</v>
      </c>
      <c r="G208" s="49">
        <f t="shared" si="2"/>
        <v>0.5830053461</v>
      </c>
    </row>
    <row r="209">
      <c r="A209" s="45" t="s">
        <v>258</v>
      </c>
      <c r="B209" s="47">
        <v>2477.27</v>
      </c>
      <c r="C209" s="48">
        <f t="shared" si="3"/>
        <v>873.4755032</v>
      </c>
      <c r="D209" s="48">
        <f t="shared" si="1"/>
        <v>1603.794497</v>
      </c>
      <c r="E209" s="48">
        <f t="shared" si="4"/>
        <v>188634.1023</v>
      </c>
      <c r="F209" s="48">
        <f t="shared" si="5"/>
        <v>263365.8977</v>
      </c>
      <c r="G209" s="49">
        <f t="shared" si="2"/>
        <v>0.5865610193</v>
      </c>
    </row>
    <row r="210">
      <c r="A210" s="45" t="s">
        <v>259</v>
      </c>
      <c r="B210" s="47">
        <v>2477.27</v>
      </c>
      <c r="C210" s="48">
        <f t="shared" si="3"/>
        <v>866.1449199</v>
      </c>
      <c r="D210" s="48">
        <f t="shared" si="1"/>
        <v>1611.12508</v>
      </c>
      <c r="E210" s="48">
        <f t="shared" si="4"/>
        <v>187030.3078</v>
      </c>
      <c r="F210" s="48">
        <f t="shared" si="5"/>
        <v>264969.6922</v>
      </c>
      <c r="G210" s="49">
        <f t="shared" si="2"/>
        <v>0.5901329447</v>
      </c>
    </row>
    <row r="211">
      <c r="A211" s="45" t="s">
        <v>260</v>
      </c>
      <c r="B211" s="47">
        <v>2477.27</v>
      </c>
      <c r="C211" s="48">
        <f t="shared" si="3"/>
        <v>858.7808302</v>
      </c>
      <c r="D211" s="48">
        <f t="shared" si="1"/>
        <v>1618.48917</v>
      </c>
      <c r="E211" s="48">
        <f t="shared" si="4"/>
        <v>185419.1828</v>
      </c>
      <c r="F211" s="48">
        <f t="shared" si="5"/>
        <v>266580.8172</v>
      </c>
      <c r="G211" s="49">
        <f t="shared" si="2"/>
        <v>0.5937211965</v>
      </c>
    </row>
    <row r="212">
      <c r="A212" s="45" t="s">
        <v>261</v>
      </c>
      <c r="B212" s="47">
        <v>2477.27</v>
      </c>
      <c r="C212" s="48">
        <f t="shared" si="3"/>
        <v>851.3830809</v>
      </c>
      <c r="D212" s="48">
        <f t="shared" si="1"/>
        <v>1625.886919</v>
      </c>
      <c r="E212" s="48">
        <f t="shared" si="4"/>
        <v>183800.6936</v>
      </c>
      <c r="F212" s="48">
        <f t="shared" si="5"/>
        <v>268199.3064</v>
      </c>
      <c r="G212" s="49">
        <f t="shared" si="2"/>
        <v>0.5973258495</v>
      </c>
    </row>
    <row r="213">
      <c r="A213" s="45" t="s">
        <v>262</v>
      </c>
      <c r="B213" s="47">
        <v>2477.27</v>
      </c>
      <c r="C213" s="48">
        <f t="shared" si="3"/>
        <v>843.9515181</v>
      </c>
      <c r="D213" s="48">
        <f t="shared" si="1"/>
        <v>1633.318482</v>
      </c>
      <c r="E213" s="48">
        <f t="shared" si="4"/>
        <v>182174.8067</v>
      </c>
      <c r="F213" s="48">
        <f t="shared" si="5"/>
        <v>269825.1933</v>
      </c>
      <c r="G213" s="49">
        <f t="shared" si="2"/>
        <v>0.6009469785</v>
      </c>
    </row>
    <row r="214">
      <c r="A214" s="45" t="s">
        <v>263</v>
      </c>
      <c r="B214" s="47">
        <v>2477.27</v>
      </c>
      <c r="C214" s="48">
        <f t="shared" si="3"/>
        <v>836.4859873</v>
      </c>
      <c r="D214" s="48">
        <f t="shared" si="1"/>
        <v>1640.784013</v>
      </c>
      <c r="E214" s="48">
        <f t="shared" si="4"/>
        <v>180541.4882</v>
      </c>
      <c r="F214" s="48">
        <f t="shared" si="5"/>
        <v>271458.5118</v>
      </c>
      <c r="G214" s="49">
        <f t="shared" si="2"/>
        <v>0.6045846588</v>
      </c>
    </row>
    <row r="215">
      <c r="A215" s="45" t="s">
        <v>264</v>
      </c>
      <c r="B215" s="47">
        <v>2477.27</v>
      </c>
      <c r="C215" s="48">
        <f t="shared" si="3"/>
        <v>828.9863333</v>
      </c>
      <c r="D215" s="48">
        <f t="shared" si="1"/>
        <v>1648.283667</v>
      </c>
      <c r="E215" s="48">
        <f t="shared" si="4"/>
        <v>178900.7042</v>
      </c>
      <c r="F215" s="48">
        <f t="shared" si="5"/>
        <v>273099.2958</v>
      </c>
      <c r="G215" s="49">
        <f t="shared" si="2"/>
        <v>0.6082389662</v>
      </c>
    </row>
    <row r="216">
      <c r="A216" s="45" t="s">
        <v>265</v>
      </c>
      <c r="B216" s="47">
        <v>2477.27</v>
      </c>
      <c r="C216" s="48">
        <f t="shared" si="3"/>
        <v>821.4524</v>
      </c>
      <c r="D216" s="48">
        <f t="shared" si="1"/>
        <v>1655.8176</v>
      </c>
      <c r="E216" s="48">
        <f t="shared" si="4"/>
        <v>177252.4205</v>
      </c>
      <c r="F216" s="48">
        <f t="shared" si="5"/>
        <v>274747.5795</v>
      </c>
      <c r="G216" s="49">
        <f t="shared" si="2"/>
        <v>0.6119099766</v>
      </c>
    </row>
    <row r="217">
      <c r="A217" s="45" t="s">
        <v>266</v>
      </c>
      <c r="B217" s="47">
        <v>2477.27</v>
      </c>
      <c r="C217" s="48">
        <f t="shared" si="3"/>
        <v>813.8840309</v>
      </c>
      <c r="D217" s="48">
        <f t="shared" si="1"/>
        <v>1663.385969</v>
      </c>
      <c r="E217" s="48">
        <f t="shared" si="4"/>
        <v>175596.6029</v>
      </c>
      <c r="F217" s="48">
        <f t="shared" si="5"/>
        <v>276403.3971</v>
      </c>
      <c r="G217" s="49">
        <f t="shared" si="2"/>
        <v>0.6155977663</v>
      </c>
    </row>
    <row r="218">
      <c r="A218" s="45" t="s">
        <v>267</v>
      </c>
      <c r="B218" s="47">
        <v>2477.27</v>
      </c>
      <c r="C218" s="48">
        <f t="shared" si="3"/>
        <v>806.2810684</v>
      </c>
      <c r="D218" s="48">
        <f t="shared" si="1"/>
        <v>1670.988932</v>
      </c>
      <c r="E218" s="48">
        <f t="shared" si="4"/>
        <v>173933.2169</v>
      </c>
      <c r="F218" s="48">
        <f t="shared" si="5"/>
        <v>278066.7831</v>
      </c>
      <c r="G218" s="49">
        <f t="shared" si="2"/>
        <v>0.6193024121</v>
      </c>
    </row>
    <row r="219">
      <c r="A219" s="45" t="s">
        <v>268</v>
      </c>
      <c r="B219" s="47">
        <v>2477.27</v>
      </c>
      <c r="C219" s="48">
        <f t="shared" si="3"/>
        <v>798.6433545</v>
      </c>
      <c r="D219" s="48">
        <f t="shared" si="1"/>
        <v>1678.626646</v>
      </c>
      <c r="E219" s="48">
        <f t="shared" si="4"/>
        <v>172262.228</v>
      </c>
      <c r="F219" s="48">
        <f t="shared" si="5"/>
        <v>279737.772</v>
      </c>
      <c r="G219" s="49">
        <f t="shared" si="2"/>
        <v>0.6230239911</v>
      </c>
    </row>
    <row r="220">
      <c r="A220" s="45" t="s">
        <v>269</v>
      </c>
      <c r="B220" s="47">
        <v>2477.27</v>
      </c>
      <c r="C220" s="48">
        <f t="shared" si="3"/>
        <v>790.9707303</v>
      </c>
      <c r="D220" s="48">
        <f t="shared" si="1"/>
        <v>1686.29927</v>
      </c>
      <c r="E220" s="48">
        <f t="shared" si="4"/>
        <v>170583.6014</v>
      </c>
      <c r="F220" s="48">
        <f t="shared" si="5"/>
        <v>281416.3986</v>
      </c>
      <c r="G220" s="49">
        <f t="shared" si="2"/>
        <v>0.6267625805</v>
      </c>
    </row>
    <row r="221">
      <c r="A221" s="45" t="s">
        <v>270</v>
      </c>
      <c r="B221" s="47">
        <v>2477.27</v>
      </c>
      <c r="C221" s="48">
        <f t="shared" si="3"/>
        <v>783.2630363</v>
      </c>
      <c r="D221" s="48">
        <f t="shared" si="1"/>
        <v>1694.006964</v>
      </c>
      <c r="E221" s="48">
        <f t="shared" si="4"/>
        <v>168897.3021</v>
      </c>
      <c r="F221" s="48">
        <f t="shared" si="5"/>
        <v>283102.6979</v>
      </c>
      <c r="G221" s="49">
        <f t="shared" si="2"/>
        <v>0.6305182581</v>
      </c>
    </row>
    <row r="222">
      <c r="A222" s="45" t="s">
        <v>271</v>
      </c>
      <c r="B222" s="47">
        <v>2477.27</v>
      </c>
      <c r="C222" s="48">
        <f t="shared" si="3"/>
        <v>775.5201121</v>
      </c>
      <c r="D222" s="48">
        <f t="shared" si="1"/>
        <v>1701.749888</v>
      </c>
      <c r="E222" s="48">
        <f t="shared" si="4"/>
        <v>167203.2951</v>
      </c>
      <c r="F222" s="48">
        <f t="shared" si="5"/>
        <v>284796.7049</v>
      </c>
      <c r="G222" s="49">
        <f t="shared" si="2"/>
        <v>0.6342911021</v>
      </c>
    </row>
    <row r="223">
      <c r="A223" s="45" t="s">
        <v>272</v>
      </c>
      <c r="B223" s="47">
        <v>2477.27</v>
      </c>
      <c r="C223" s="48">
        <f t="shared" si="3"/>
        <v>767.7417968</v>
      </c>
      <c r="D223" s="48">
        <f t="shared" si="1"/>
        <v>1709.528203</v>
      </c>
      <c r="E223" s="48">
        <f t="shared" si="4"/>
        <v>165501.5452</v>
      </c>
      <c r="F223" s="48">
        <f t="shared" si="5"/>
        <v>286498.4548</v>
      </c>
      <c r="G223" s="49">
        <f t="shared" si="2"/>
        <v>0.638081191</v>
      </c>
    </row>
    <row r="224">
      <c r="A224" s="45" t="s">
        <v>273</v>
      </c>
      <c r="B224" s="47">
        <v>2477.27</v>
      </c>
      <c r="C224" s="48">
        <f t="shared" si="3"/>
        <v>759.9279286</v>
      </c>
      <c r="D224" s="48">
        <f t="shared" si="1"/>
        <v>1717.342071</v>
      </c>
      <c r="E224" s="48">
        <f t="shared" si="4"/>
        <v>163792.017</v>
      </c>
      <c r="F224" s="48">
        <f t="shared" si="5"/>
        <v>288207.983</v>
      </c>
      <c r="G224" s="49">
        <f t="shared" si="2"/>
        <v>0.6418886035</v>
      </c>
    </row>
    <row r="225">
      <c r="A225" s="45" t="s">
        <v>274</v>
      </c>
      <c r="B225" s="47">
        <v>2477.27</v>
      </c>
      <c r="C225" s="48">
        <f t="shared" si="3"/>
        <v>752.0783449</v>
      </c>
      <c r="D225" s="48">
        <f t="shared" si="1"/>
        <v>1725.191655</v>
      </c>
      <c r="E225" s="48">
        <f t="shared" si="4"/>
        <v>162074.675</v>
      </c>
      <c r="F225" s="48">
        <f t="shared" si="5"/>
        <v>289925.325</v>
      </c>
      <c r="G225" s="49">
        <f t="shared" si="2"/>
        <v>0.6457134188</v>
      </c>
    </row>
    <row r="226">
      <c r="A226" s="45" t="s">
        <v>275</v>
      </c>
      <c r="B226" s="47">
        <v>2477.27</v>
      </c>
      <c r="C226" s="48">
        <f t="shared" si="3"/>
        <v>744.1928826</v>
      </c>
      <c r="D226" s="48">
        <f t="shared" si="1"/>
        <v>1733.077117</v>
      </c>
      <c r="E226" s="48">
        <f t="shared" si="4"/>
        <v>160349.4833</v>
      </c>
      <c r="F226" s="48">
        <f t="shared" si="5"/>
        <v>291650.5167</v>
      </c>
      <c r="G226" s="49">
        <f t="shared" si="2"/>
        <v>0.6495557164</v>
      </c>
    </row>
    <row r="227">
      <c r="A227" s="45" t="s">
        <v>276</v>
      </c>
      <c r="B227" s="47">
        <v>2477.27</v>
      </c>
      <c r="C227" s="48">
        <f t="shared" si="3"/>
        <v>736.2713776</v>
      </c>
      <c r="D227" s="48">
        <f t="shared" si="1"/>
        <v>1740.998622</v>
      </c>
      <c r="E227" s="48">
        <f t="shared" si="4"/>
        <v>158616.4062</v>
      </c>
      <c r="F227" s="48">
        <f t="shared" si="5"/>
        <v>293383.5938</v>
      </c>
      <c r="G227" s="49">
        <f t="shared" si="2"/>
        <v>0.6534155764</v>
      </c>
    </row>
    <row r="228">
      <c r="A228" s="45" t="s">
        <v>277</v>
      </c>
      <c r="B228" s="47">
        <v>2477.27</v>
      </c>
      <c r="C228" s="48">
        <f t="shared" si="3"/>
        <v>728.3136651</v>
      </c>
      <c r="D228" s="48">
        <f t="shared" si="1"/>
        <v>1748.956335</v>
      </c>
      <c r="E228" s="48">
        <f t="shared" si="4"/>
        <v>156875.4076</v>
      </c>
      <c r="F228" s="48">
        <f t="shared" si="5"/>
        <v>295124.5924</v>
      </c>
      <c r="G228" s="49">
        <f t="shared" si="2"/>
        <v>0.6572930789</v>
      </c>
    </row>
    <row r="229">
      <c r="A229" s="45" t="s">
        <v>278</v>
      </c>
      <c r="B229" s="47">
        <v>2477.27</v>
      </c>
      <c r="C229" s="48">
        <f t="shared" si="3"/>
        <v>720.3195798</v>
      </c>
      <c r="D229" s="48">
        <f t="shared" si="1"/>
        <v>1756.95042</v>
      </c>
      <c r="E229" s="48">
        <f t="shared" si="4"/>
        <v>155126.4512</v>
      </c>
      <c r="F229" s="48">
        <f t="shared" si="5"/>
        <v>296873.5488</v>
      </c>
      <c r="G229" s="49">
        <f t="shared" si="2"/>
        <v>0.6611883046</v>
      </c>
    </row>
    <row r="230">
      <c r="A230" s="45" t="s">
        <v>279</v>
      </c>
      <c r="B230" s="47">
        <v>2477.27</v>
      </c>
      <c r="C230" s="48">
        <f t="shared" si="3"/>
        <v>712.2889553</v>
      </c>
      <c r="D230" s="48">
        <f t="shared" si="1"/>
        <v>1764.981045</v>
      </c>
      <c r="E230" s="48">
        <f t="shared" si="4"/>
        <v>153369.5008</v>
      </c>
      <c r="F230" s="48">
        <f t="shared" si="5"/>
        <v>298630.4992</v>
      </c>
      <c r="G230" s="49">
        <f t="shared" si="2"/>
        <v>0.6651013345</v>
      </c>
    </row>
    <row r="231">
      <c r="A231" s="45" t="s">
        <v>280</v>
      </c>
      <c r="B231" s="47">
        <v>2477.27</v>
      </c>
      <c r="C231" s="48">
        <f t="shared" si="3"/>
        <v>704.2216246</v>
      </c>
      <c r="D231" s="48">
        <f t="shared" si="1"/>
        <v>1773.048375</v>
      </c>
      <c r="E231" s="48">
        <f t="shared" si="4"/>
        <v>151604.5198</v>
      </c>
      <c r="F231" s="48">
        <f t="shared" si="5"/>
        <v>300395.4802</v>
      </c>
      <c r="G231" s="49">
        <f t="shared" si="2"/>
        <v>0.6690322499</v>
      </c>
    </row>
    <row r="232">
      <c r="A232" s="45" t="s">
        <v>281</v>
      </c>
      <c r="B232" s="47">
        <v>2477.27</v>
      </c>
      <c r="C232" s="48">
        <f t="shared" si="3"/>
        <v>696.11742</v>
      </c>
      <c r="D232" s="48">
        <f t="shared" si="1"/>
        <v>1781.15258</v>
      </c>
      <c r="E232" s="48">
        <f t="shared" si="4"/>
        <v>149831.4714</v>
      </c>
      <c r="F232" s="48">
        <f t="shared" si="5"/>
        <v>302168.5286</v>
      </c>
      <c r="G232" s="49">
        <f t="shared" si="2"/>
        <v>0.6729811327</v>
      </c>
    </row>
    <row r="233">
      <c r="A233" s="45" t="s">
        <v>282</v>
      </c>
      <c r="B233" s="47">
        <v>2477.27</v>
      </c>
      <c r="C233" s="48">
        <f t="shared" si="3"/>
        <v>687.9761729</v>
      </c>
      <c r="D233" s="48">
        <f t="shared" si="1"/>
        <v>1789.293827</v>
      </c>
      <c r="E233" s="48">
        <f t="shared" si="4"/>
        <v>148050.3188</v>
      </c>
      <c r="F233" s="48">
        <f t="shared" si="5"/>
        <v>303949.6812</v>
      </c>
      <c r="G233" s="49">
        <f t="shared" si="2"/>
        <v>0.676948065</v>
      </c>
    </row>
    <row r="234">
      <c r="A234" s="45" t="s">
        <v>283</v>
      </c>
      <c r="B234" s="47">
        <v>2477.27</v>
      </c>
      <c r="C234" s="48">
        <f t="shared" si="3"/>
        <v>679.7977139</v>
      </c>
      <c r="D234" s="48">
        <f t="shared" si="1"/>
        <v>1797.472286</v>
      </c>
      <c r="E234" s="48">
        <f t="shared" si="4"/>
        <v>146261.025</v>
      </c>
      <c r="F234" s="48">
        <f t="shared" si="5"/>
        <v>305738.975</v>
      </c>
      <c r="G234" s="49">
        <f t="shared" si="2"/>
        <v>0.6809331292</v>
      </c>
    </row>
    <row r="235">
      <c r="A235" s="45" t="s">
        <v>284</v>
      </c>
      <c r="B235" s="47">
        <v>2477.27</v>
      </c>
      <c r="C235" s="48">
        <f t="shared" si="3"/>
        <v>671.5818731</v>
      </c>
      <c r="D235" s="48">
        <f t="shared" si="1"/>
        <v>1805.688127</v>
      </c>
      <c r="E235" s="48">
        <f t="shared" si="4"/>
        <v>144463.5527</v>
      </c>
      <c r="F235" s="48">
        <f t="shared" si="5"/>
        <v>307536.4473</v>
      </c>
      <c r="G235" s="49">
        <f t="shared" si="2"/>
        <v>0.6849364082</v>
      </c>
    </row>
    <row r="236">
      <c r="A236" s="45" t="s">
        <v>285</v>
      </c>
      <c r="B236" s="47">
        <v>2477.27</v>
      </c>
      <c r="C236" s="48">
        <f t="shared" si="3"/>
        <v>663.3284795</v>
      </c>
      <c r="D236" s="48">
        <f t="shared" si="1"/>
        <v>1813.94152</v>
      </c>
      <c r="E236" s="48">
        <f t="shared" si="4"/>
        <v>142657.8646</v>
      </c>
      <c r="F236" s="48">
        <f t="shared" si="5"/>
        <v>309342.1354</v>
      </c>
      <c r="G236" s="49">
        <f t="shared" si="2"/>
        <v>0.6889579853</v>
      </c>
    </row>
    <row r="237">
      <c r="A237" s="45" t="s">
        <v>286</v>
      </c>
      <c r="B237" s="47">
        <v>2477.27</v>
      </c>
      <c r="C237" s="48">
        <f t="shared" si="3"/>
        <v>655.0373615</v>
      </c>
      <c r="D237" s="48">
        <f t="shared" si="1"/>
        <v>1822.232638</v>
      </c>
      <c r="E237" s="48">
        <f t="shared" si="4"/>
        <v>140843.9231</v>
      </c>
      <c r="F237" s="48">
        <f t="shared" si="5"/>
        <v>311156.0769</v>
      </c>
      <c r="G237" s="49">
        <f t="shared" si="2"/>
        <v>0.6929979442</v>
      </c>
    </row>
    <row r="238">
      <c r="A238" s="45" t="s">
        <v>287</v>
      </c>
      <c r="B238" s="47">
        <v>2477.27</v>
      </c>
      <c r="C238" s="48">
        <f t="shared" si="3"/>
        <v>646.7083467</v>
      </c>
      <c r="D238" s="48">
        <f t="shared" si="1"/>
        <v>1830.561653</v>
      </c>
      <c r="E238" s="48">
        <f t="shared" si="4"/>
        <v>139021.6904</v>
      </c>
      <c r="F238" s="48">
        <f t="shared" si="5"/>
        <v>312978.3096</v>
      </c>
      <c r="G238" s="49">
        <f t="shared" si="2"/>
        <v>0.6970563688</v>
      </c>
    </row>
    <row r="239">
      <c r="A239" s="45" t="s">
        <v>288</v>
      </c>
      <c r="B239" s="47">
        <v>2477.27</v>
      </c>
      <c r="C239" s="48">
        <f t="shared" si="3"/>
        <v>638.3412619</v>
      </c>
      <c r="D239" s="48">
        <f t="shared" si="1"/>
        <v>1838.928738</v>
      </c>
      <c r="E239" s="48">
        <f t="shared" si="4"/>
        <v>137191.1288</v>
      </c>
      <c r="F239" s="48">
        <f t="shared" si="5"/>
        <v>314808.8712</v>
      </c>
      <c r="G239" s="49">
        <f t="shared" si="2"/>
        <v>0.7011333435</v>
      </c>
    </row>
    <row r="240">
      <c r="A240" s="45" t="s">
        <v>289</v>
      </c>
      <c r="B240" s="47">
        <v>2477.27</v>
      </c>
      <c r="C240" s="48">
        <f t="shared" si="3"/>
        <v>629.9359329</v>
      </c>
      <c r="D240" s="48">
        <f t="shared" si="1"/>
        <v>1847.334067</v>
      </c>
      <c r="E240" s="48">
        <f t="shared" si="4"/>
        <v>135352.2</v>
      </c>
      <c r="F240" s="48">
        <f t="shared" si="5"/>
        <v>316647.8</v>
      </c>
      <c r="G240" s="49">
        <f t="shared" si="2"/>
        <v>0.7052289532</v>
      </c>
    </row>
    <row r="241">
      <c r="A241" s="45" t="s">
        <v>290</v>
      </c>
      <c r="B241" s="47">
        <v>2477.27</v>
      </c>
      <c r="C241" s="48">
        <f t="shared" si="3"/>
        <v>621.4921851</v>
      </c>
      <c r="D241" s="48">
        <f t="shared" si="1"/>
        <v>1855.777815</v>
      </c>
      <c r="E241" s="48">
        <f t="shared" si="4"/>
        <v>133504.866</v>
      </c>
      <c r="F241" s="48">
        <f t="shared" si="5"/>
        <v>318495.134</v>
      </c>
      <c r="G241" s="49">
        <f t="shared" si="2"/>
        <v>0.7093432829</v>
      </c>
    </row>
    <row r="242">
      <c r="A242" s="45" t="s">
        <v>291</v>
      </c>
      <c r="B242" s="47">
        <v>2477.27</v>
      </c>
      <c r="C242" s="48">
        <f t="shared" si="3"/>
        <v>613.0098429</v>
      </c>
      <c r="D242" s="48">
        <f t="shared" si="1"/>
        <v>1864.260157</v>
      </c>
      <c r="E242" s="48">
        <f t="shared" si="4"/>
        <v>131649.0881</v>
      </c>
      <c r="F242" s="48">
        <f t="shared" si="5"/>
        <v>320350.9119</v>
      </c>
      <c r="G242" s="49">
        <f t="shared" si="2"/>
        <v>0.7134764184</v>
      </c>
    </row>
    <row r="243">
      <c r="A243" s="45" t="s">
        <v>292</v>
      </c>
      <c r="B243" s="47">
        <v>2477.27</v>
      </c>
      <c r="C243" s="48">
        <f t="shared" si="3"/>
        <v>604.4887298</v>
      </c>
      <c r="D243" s="48">
        <f t="shared" si="1"/>
        <v>1872.78127</v>
      </c>
      <c r="E243" s="48">
        <f t="shared" si="4"/>
        <v>129784.828</v>
      </c>
      <c r="F243" s="48">
        <f t="shared" si="5"/>
        <v>322215.172</v>
      </c>
      <c r="G243" s="49">
        <f t="shared" si="2"/>
        <v>0.7176284455</v>
      </c>
    </row>
    <row r="244">
      <c r="A244" s="45" t="s">
        <v>293</v>
      </c>
      <c r="B244" s="47">
        <v>2477.27</v>
      </c>
      <c r="C244" s="48">
        <f t="shared" si="3"/>
        <v>595.9286685</v>
      </c>
      <c r="D244" s="48">
        <f t="shared" si="1"/>
        <v>1881.341331</v>
      </c>
      <c r="E244" s="48">
        <f t="shared" si="4"/>
        <v>127912.0467</v>
      </c>
      <c r="F244" s="48">
        <f t="shared" si="5"/>
        <v>324087.9533</v>
      </c>
      <c r="G244" s="49">
        <f t="shared" si="2"/>
        <v>0.7217994505</v>
      </c>
    </row>
    <row r="245">
      <c r="A245" s="45" t="s">
        <v>294</v>
      </c>
      <c r="B245" s="47">
        <v>2477.27</v>
      </c>
      <c r="C245" s="48">
        <f t="shared" si="3"/>
        <v>587.3294812</v>
      </c>
      <c r="D245" s="48">
        <f t="shared" si="1"/>
        <v>1889.940519</v>
      </c>
      <c r="E245" s="48">
        <f t="shared" si="4"/>
        <v>126030.7054</v>
      </c>
      <c r="F245" s="48">
        <f t="shared" si="5"/>
        <v>325969.2946</v>
      </c>
      <c r="G245" s="49">
        <f t="shared" si="2"/>
        <v>0.7259895203</v>
      </c>
    </row>
    <row r="246">
      <c r="A246" s="45" t="s">
        <v>295</v>
      </c>
      <c r="B246" s="47">
        <v>2477.27</v>
      </c>
      <c r="C246" s="48">
        <f t="shared" si="3"/>
        <v>578.6909889</v>
      </c>
      <c r="D246" s="48">
        <f t="shared" si="1"/>
        <v>1898.579011</v>
      </c>
      <c r="E246" s="48">
        <f t="shared" si="4"/>
        <v>124140.7649</v>
      </c>
      <c r="F246" s="48">
        <f t="shared" si="5"/>
        <v>327859.2351</v>
      </c>
      <c r="G246" s="49">
        <f t="shared" si="2"/>
        <v>0.7301987419</v>
      </c>
    </row>
    <row r="247">
      <c r="A247" s="45" t="s">
        <v>296</v>
      </c>
      <c r="B247" s="47">
        <v>2477.27</v>
      </c>
      <c r="C247" s="48">
        <f t="shared" si="3"/>
        <v>570.013012</v>
      </c>
      <c r="D247" s="48">
        <f t="shared" si="1"/>
        <v>1907.256988</v>
      </c>
      <c r="E247" s="48">
        <f t="shared" si="4"/>
        <v>122242.1859</v>
      </c>
      <c r="F247" s="48">
        <f t="shared" si="5"/>
        <v>329757.8141</v>
      </c>
      <c r="G247" s="49">
        <f t="shared" si="2"/>
        <v>0.734427203</v>
      </c>
    </row>
    <row r="248">
      <c r="A248" s="45" t="s">
        <v>297</v>
      </c>
      <c r="B248" s="47">
        <v>2477.27</v>
      </c>
      <c r="C248" s="48">
        <f t="shared" si="3"/>
        <v>561.2953701</v>
      </c>
      <c r="D248" s="48">
        <f t="shared" si="1"/>
        <v>1915.97463</v>
      </c>
      <c r="E248" s="48">
        <f t="shared" si="4"/>
        <v>120334.9289</v>
      </c>
      <c r="F248" s="48">
        <f t="shared" si="5"/>
        <v>331665.0711</v>
      </c>
      <c r="G248" s="49">
        <f t="shared" si="2"/>
        <v>0.7386749914</v>
      </c>
    </row>
    <row r="249">
      <c r="A249" s="45" t="s">
        <v>298</v>
      </c>
      <c r="B249" s="47">
        <v>2477.27</v>
      </c>
      <c r="C249" s="48">
        <f t="shared" si="3"/>
        <v>552.5378817</v>
      </c>
      <c r="D249" s="48">
        <f t="shared" si="1"/>
        <v>1924.732118</v>
      </c>
      <c r="E249" s="48">
        <f t="shared" si="4"/>
        <v>118418.9542</v>
      </c>
      <c r="F249" s="48">
        <f t="shared" si="5"/>
        <v>333581.0458</v>
      </c>
      <c r="G249" s="49">
        <f t="shared" si="2"/>
        <v>0.7429421954</v>
      </c>
    </row>
    <row r="250">
      <c r="A250" s="45" t="s">
        <v>299</v>
      </c>
      <c r="B250" s="47">
        <v>2477.27</v>
      </c>
      <c r="C250" s="48">
        <f t="shared" si="3"/>
        <v>543.7403649</v>
      </c>
      <c r="D250" s="48">
        <f t="shared" si="1"/>
        <v>1933.529635</v>
      </c>
      <c r="E250" s="48">
        <f t="shared" si="4"/>
        <v>116494.2221</v>
      </c>
      <c r="F250" s="48">
        <f t="shared" si="5"/>
        <v>335505.7779</v>
      </c>
      <c r="G250" s="49">
        <f t="shared" si="2"/>
        <v>0.747228904</v>
      </c>
    </row>
    <row r="251">
      <c r="A251" s="45" t="s">
        <v>300</v>
      </c>
      <c r="B251" s="47">
        <v>2477.27</v>
      </c>
      <c r="C251" s="48">
        <f t="shared" si="3"/>
        <v>534.9026366</v>
      </c>
      <c r="D251" s="48">
        <f t="shared" si="1"/>
        <v>1942.367363</v>
      </c>
      <c r="E251" s="48">
        <f t="shared" si="4"/>
        <v>114560.6925</v>
      </c>
      <c r="F251" s="48">
        <f t="shared" si="5"/>
        <v>337439.3075</v>
      </c>
      <c r="G251" s="49">
        <f t="shared" si="2"/>
        <v>0.751535206</v>
      </c>
    </row>
    <row r="252">
      <c r="A252" s="45" t="s">
        <v>301</v>
      </c>
      <c r="B252" s="47">
        <v>2477.27</v>
      </c>
      <c r="C252" s="48">
        <f t="shared" si="3"/>
        <v>526.024513</v>
      </c>
      <c r="D252" s="48">
        <f t="shared" si="1"/>
        <v>1951.245487</v>
      </c>
      <c r="E252" s="48">
        <f t="shared" si="4"/>
        <v>112618.3251</v>
      </c>
      <c r="F252" s="48">
        <f t="shared" si="5"/>
        <v>339381.6749</v>
      </c>
      <c r="G252" s="49">
        <f t="shared" si="2"/>
        <v>0.7558611913</v>
      </c>
    </row>
    <row r="253">
      <c r="A253" s="45" t="s">
        <v>302</v>
      </c>
      <c r="B253" s="47">
        <v>2477.27</v>
      </c>
      <c r="C253" s="48">
        <f t="shared" si="3"/>
        <v>517.1058095</v>
      </c>
      <c r="D253" s="48">
        <f t="shared" si="1"/>
        <v>1960.16419</v>
      </c>
      <c r="E253" s="48">
        <f t="shared" si="4"/>
        <v>110667.0796</v>
      </c>
      <c r="F253" s="48">
        <f t="shared" si="5"/>
        <v>341332.9204</v>
      </c>
      <c r="G253" s="49">
        <f t="shared" si="2"/>
        <v>0.7602069496</v>
      </c>
    </row>
    <row r="254">
      <c r="A254" s="45" t="s">
        <v>303</v>
      </c>
      <c r="B254" s="47">
        <v>2477.27</v>
      </c>
      <c r="C254" s="48">
        <f t="shared" si="3"/>
        <v>508.1463407</v>
      </c>
      <c r="D254" s="48">
        <f t="shared" si="1"/>
        <v>1969.123659</v>
      </c>
      <c r="E254" s="48">
        <f t="shared" si="4"/>
        <v>108706.9154</v>
      </c>
      <c r="F254" s="48">
        <f t="shared" si="5"/>
        <v>343293.0846</v>
      </c>
      <c r="G254" s="49">
        <f t="shared" si="2"/>
        <v>0.7645725714</v>
      </c>
    </row>
    <row r="255">
      <c r="A255" s="45" t="s">
        <v>304</v>
      </c>
      <c r="B255" s="47">
        <v>2477.27</v>
      </c>
      <c r="C255" s="48">
        <f t="shared" si="3"/>
        <v>499.1459201</v>
      </c>
      <c r="D255" s="48">
        <f t="shared" si="1"/>
        <v>1978.12408</v>
      </c>
      <c r="E255" s="48">
        <f t="shared" si="4"/>
        <v>106737.7918</v>
      </c>
      <c r="F255" s="48">
        <f t="shared" si="5"/>
        <v>345262.2082</v>
      </c>
      <c r="G255" s="49">
        <f t="shared" si="2"/>
        <v>0.7689581475</v>
      </c>
    </row>
    <row r="256">
      <c r="A256" s="45" t="s">
        <v>305</v>
      </c>
      <c r="B256" s="47">
        <v>2477.27</v>
      </c>
      <c r="C256" s="48">
        <f t="shared" si="3"/>
        <v>490.1043606</v>
      </c>
      <c r="D256" s="48">
        <f t="shared" si="1"/>
        <v>1987.165639</v>
      </c>
      <c r="E256" s="48">
        <f t="shared" si="4"/>
        <v>104759.6677</v>
      </c>
      <c r="F256" s="48">
        <f t="shared" si="5"/>
        <v>347240.3323</v>
      </c>
      <c r="G256" s="49">
        <f t="shared" si="2"/>
        <v>0.773363769</v>
      </c>
    </row>
    <row r="257">
      <c r="A257" s="45" t="s">
        <v>306</v>
      </c>
      <c r="B257" s="47">
        <v>2477.27</v>
      </c>
      <c r="C257" s="48">
        <f t="shared" si="3"/>
        <v>481.0214742</v>
      </c>
      <c r="D257" s="48">
        <f t="shared" si="1"/>
        <v>1996.248526</v>
      </c>
      <c r="E257" s="48">
        <f t="shared" si="4"/>
        <v>102772.5021</v>
      </c>
      <c r="F257" s="48">
        <f t="shared" si="5"/>
        <v>349227.4979</v>
      </c>
      <c r="G257" s="49">
        <f t="shared" si="2"/>
        <v>0.7777895277</v>
      </c>
    </row>
    <row r="258">
      <c r="A258" s="45" t="s">
        <v>307</v>
      </c>
      <c r="B258" s="47">
        <v>2477.27</v>
      </c>
      <c r="C258" s="48">
        <f t="shared" si="3"/>
        <v>471.897072</v>
      </c>
      <c r="D258" s="48">
        <f t="shared" si="1"/>
        <v>2005.372928</v>
      </c>
      <c r="E258" s="48">
        <f t="shared" si="4"/>
        <v>100776.2535</v>
      </c>
      <c r="F258" s="48">
        <f t="shared" si="5"/>
        <v>351223.7465</v>
      </c>
      <c r="G258" s="49">
        <f t="shared" si="2"/>
        <v>0.7822355155</v>
      </c>
    </row>
    <row r="259">
      <c r="A259" s="45" t="s">
        <v>308</v>
      </c>
      <c r="B259" s="47">
        <v>2477.27</v>
      </c>
      <c r="C259" s="48">
        <f t="shared" si="3"/>
        <v>462.7309642</v>
      </c>
      <c r="D259" s="48">
        <f t="shared" si="1"/>
        <v>2014.539036</v>
      </c>
      <c r="E259" s="48">
        <f t="shared" si="4"/>
        <v>98770.88062</v>
      </c>
      <c r="F259" s="48">
        <f t="shared" si="5"/>
        <v>353229.1194</v>
      </c>
      <c r="G259" s="49">
        <f t="shared" si="2"/>
        <v>0.7867018249</v>
      </c>
    </row>
    <row r="260">
      <c r="A260" s="45" t="s">
        <v>309</v>
      </c>
      <c r="B260" s="47">
        <v>2477.27</v>
      </c>
      <c r="C260" s="48">
        <f t="shared" si="3"/>
        <v>453.5229602</v>
      </c>
      <c r="D260" s="48">
        <f t="shared" si="1"/>
        <v>2023.74704</v>
      </c>
      <c r="E260" s="48">
        <f t="shared" si="4"/>
        <v>96756.34158</v>
      </c>
      <c r="F260" s="48">
        <f t="shared" si="5"/>
        <v>355243.6584</v>
      </c>
      <c r="G260" s="49">
        <f t="shared" si="2"/>
        <v>0.7911885488</v>
      </c>
    </row>
    <row r="261">
      <c r="A261" s="45" t="s">
        <v>310</v>
      </c>
      <c r="B261" s="47">
        <v>2477.27</v>
      </c>
      <c r="C261" s="48">
        <f t="shared" si="3"/>
        <v>444.2728684</v>
      </c>
      <c r="D261" s="48">
        <f t="shared" si="1"/>
        <v>2032.997132</v>
      </c>
      <c r="E261" s="48">
        <f t="shared" si="4"/>
        <v>94732.59454</v>
      </c>
      <c r="F261" s="48">
        <f t="shared" si="5"/>
        <v>357267.4055</v>
      </c>
      <c r="G261" s="49">
        <f t="shared" si="2"/>
        <v>0.7956957805</v>
      </c>
    </row>
    <row r="262">
      <c r="A262" s="45" t="s">
        <v>311</v>
      </c>
      <c r="B262" s="47">
        <v>2477.27</v>
      </c>
      <c r="C262" s="48">
        <f t="shared" si="3"/>
        <v>434.9804966</v>
      </c>
      <c r="D262" s="48">
        <f t="shared" si="1"/>
        <v>2042.289503</v>
      </c>
      <c r="E262" s="48">
        <f t="shared" si="4"/>
        <v>92699.59741</v>
      </c>
      <c r="F262" s="48">
        <f t="shared" si="5"/>
        <v>359300.4026</v>
      </c>
      <c r="G262" s="49">
        <f t="shared" si="2"/>
        <v>0.8002236138</v>
      </c>
    </row>
    <row r="263">
      <c r="A263" s="45" t="s">
        <v>312</v>
      </c>
      <c r="B263" s="47">
        <v>2477.27</v>
      </c>
      <c r="C263" s="48">
        <f t="shared" si="3"/>
        <v>425.6456514</v>
      </c>
      <c r="D263" s="48">
        <f t="shared" si="1"/>
        <v>2051.624349</v>
      </c>
      <c r="E263" s="48">
        <f t="shared" si="4"/>
        <v>90657.30791</v>
      </c>
      <c r="F263" s="48">
        <f t="shared" si="5"/>
        <v>361342.6921</v>
      </c>
      <c r="G263" s="49">
        <f t="shared" si="2"/>
        <v>0.8047721427</v>
      </c>
    </row>
    <row r="264">
      <c r="A264" s="45" t="s">
        <v>313</v>
      </c>
      <c r="B264" s="47">
        <v>2477.27</v>
      </c>
      <c r="C264" s="48">
        <f t="shared" si="3"/>
        <v>416.2681388</v>
      </c>
      <c r="D264" s="48">
        <f t="shared" si="1"/>
        <v>2061.001861</v>
      </c>
      <c r="E264" s="48">
        <f t="shared" si="4"/>
        <v>88605.68356</v>
      </c>
      <c r="F264" s="48">
        <f t="shared" si="5"/>
        <v>363394.3164</v>
      </c>
      <c r="G264" s="49">
        <f t="shared" si="2"/>
        <v>0.809341462</v>
      </c>
    </row>
    <row r="265">
      <c r="A265" s="45" t="s">
        <v>314</v>
      </c>
      <c r="B265" s="47">
        <v>2477.27</v>
      </c>
      <c r="C265" s="48">
        <f t="shared" si="3"/>
        <v>406.8477637</v>
      </c>
      <c r="D265" s="48">
        <f t="shared" si="1"/>
        <v>2070.422236</v>
      </c>
      <c r="E265" s="48">
        <f t="shared" si="4"/>
        <v>86544.6817</v>
      </c>
      <c r="F265" s="48">
        <f t="shared" si="5"/>
        <v>365455.3183</v>
      </c>
      <c r="G265" s="49">
        <f t="shared" si="2"/>
        <v>0.8139316666</v>
      </c>
    </row>
    <row r="266">
      <c r="A266" s="45" t="s">
        <v>315</v>
      </c>
      <c r="B266" s="47">
        <v>2477.27</v>
      </c>
      <c r="C266" s="48">
        <f t="shared" si="3"/>
        <v>397.3843301</v>
      </c>
      <c r="D266" s="48">
        <f t="shared" si="1"/>
        <v>2079.88567</v>
      </c>
      <c r="E266" s="48">
        <f t="shared" si="4"/>
        <v>84474.25946</v>
      </c>
      <c r="F266" s="48">
        <f t="shared" si="5"/>
        <v>367525.7405</v>
      </c>
      <c r="G266" s="49">
        <f t="shared" si="2"/>
        <v>0.818542852</v>
      </c>
    </row>
    <row r="267">
      <c r="A267" s="45" t="s">
        <v>316</v>
      </c>
      <c r="B267" s="47">
        <v>2477.27</v>
      </c>
      <c r="C267" s="48">
        <f t="shared" si="3"/>
        <v>387.8776414</v>
      </c>
      <c r="D267" s="48">
        <f t="shared" si="1"/>
        <v>2089.392359</v>
      </c>
      <c r="E267" s="48">
        <f t="shared" si="4"/>
        <v>82394.37379</v>
      </c>
      <c r="F267" s="48">
        <f t="shared" si="5"/>
        <v>369605.6262</v>
      </c>
      <c r="G267" s="49">
        <f t="shared" si="2"/>
        <v>0.8231751141</v>
      </c>
    </row>
    <row r="268">
      <c r="A268" s="45" t="s">
        <v>317</v>
      </c>
      <c r="B268" s="47">
        <v>2477.27</v>
      </c>
      <c r="C268" s="48">
        <f t="shared" si="3"/>
        <v>378.3274997</v>
      </c>
      <c r="D268" s="48">
        <f t="shared" si="1"/>
        <v>2098.9425</v>
      </c>
      <c r="E268" s="48">
        <f t="shared" si="4"/>
        <v>80304.98143</v>
      </c>
      <c r="F268" s="48">
        <f t="shared" si="5"/>
        <v>371695.0186</v>
      </c>
      <c r="G268" s="49">
        <f t="shared" si="2"/>
        <v>0.8278285492</v>
      </c>
    </row>
    <row r="269">
      <c r="A269" s="45" t="s">
        <v>318</v>
      </c>
      <c r="B269" s="47">
        <v>2477.27</v>
      </c>
      <c r="C269" s="48">
        <f t="shared" si="3"/>
        <v>368.7337064</v>
      </c>
      <c r="D269" s="48">
        <f t="shared" si="1"/>
        <v>2108.536294</v>
      </c>
      <c r="E269" s="48">
        <f t="shared" si="4"/>
        <v>78206.03893</v>
      </c>
      <c r="F269" s="48">
        <f t="shared" si="5"/>
        <v>373793.9611</v>
      </c>
      <c r="G269" s="49">
        <f t="shared" si="2"/>
        <v>0.8325032541</v>
      </c>
    </row>
    <row r="270">
      <c r="A270" s="45" t="s">
        <v>319</v>
      </c>
      <c r="B270" s="47">
        <v>2477.27</v>
      </c>
      <c r="C270" s="48">
        <f t="shared" si="3"/>
        <v>359.0960621</v>
      </c>
      <c r="D270" s="48">
        <f t="shared" si="1"/>
        <v>2118.173938</v>
      </c>
      <c r="E270" s="48">
        <f t="shared" si="4"/>
        <v>76097.50264</v>
      </c>
      <c r="F270" s="48">
        <f t="shared" si="5"/>
        <v>375902.4974</v>
      </c>
      <c r="G270" s="49">
        <f t="shared" si="2"/>
        <v>0.837199326</v>
      </c>
    </row>
    <row r="271">
      <c r="A271" s="45" t="s">
        <v>320</v>
      </c>
      <c r="B271" s="47">
        <v>2477.27</v>
      </c>
      <c r="C271" s="48">
        <f t="shared" si="3"/>
        <v>349.4143663</v>
      </c>
      <c r="D271" s="48">
        <f t="shared" si="1"/>
        <v>2127.855634</v>
      </c>
      <c r="E271" s="48">
        <f t="shared" si="4"/>
        <v>73979.3287</v>
      </c>
      <c r="F271" s="48">
        <f t="shared" si="5"/>
        <v>378020.6713</v>
      </c>
      <c r="G271" s="49">
        <f t="shared" si="2"/>
        <v>0.8419168626</v>
      </c>
    </row>
    <row r="272">
      <c r="A272" s="45" t="s">
        <v>321</v>
      </c>
      <c r="B272" s="47">
        <v>2477.27</v>
      </c>
      <c r="C272" s="48">
        <f t="shared" si="3"/>
        <v>339.6884176</v>
      </c>
      <c r="D272" s="48">
        <f t="shared" si="1"/>
        <v>2137.581582</v>
      </c>
      <c r="E272" s="48">
        <f t="shared" si="4"/>
        <v>71851.47307</v>
      </c>
      <c r="F272" s="48">
        <f t="shared" si="5"/>
        <v>380148.5269</v>
      </c>
      <c r="G272" s="49">
        <f t="shared" si="2"/>
        <v>0.846655962</v>
      </c>
    </row>
    <row r="273">
      <c r="A273" s="45" t="s">
        <v>322</v>
      </c>
      <c r="B273" s="47">
        <v>2477.27</v>
      </c>
      <c r="C273" s="48">
        <f t="shared" si="3"/>
        <v>329.9180138</v>
      </c>
      <c r="D273" s="48">
        <f t="shared" si="1"/>
        <v>2147.351986</v>
      </c>
      <c r="E273" s="48">
        <f t="shared" si="4"/>
        <v>69713.89148</v>
      </c>
      <c r="F273" s="48">
        <f t="shared" si="5"/>
        <v>382286.1085</v>
      </c>
      <c r="G273" s="49">
        <f t="shared" si="2"/>
        <v>0.8514167228</v>
      </c>
    </row>
    <row r="274">
      <c r="A274" s="45" t="s">
        <v>323</v>
      </c>
      <c r="B274" s="47">
        <v>2477.27</v>
      </c>
      <c r="C274" s="48">
        <f t="shared" si="3"/>
        <v>320.1029517</v>
      </c>
      <c r="D274" s="48">
        <f t="shared" si="1"/>
        <v>2157.167048</v>
      </c>
      <c r="E274" s="48">
        <f t="shared" si="4"/>
        <v>67566.5395</v>
      </c>
      <c r="F274" s="48">
        <f t="shared" si="5"/>
        <v>384433.4605</v>
      </c>
      <c r="G274" s="49">
        <f t="shared" si="2"/>
        <v>0.8561992439</v>
      </c>
    </row>
    <row r="275">
      <c r="A275" s="45" t="s">
        <v>324</v>
      </c>
      <c r="B275" s="47">
        <v>2477.27</v>
      </c>
      <c r="C275" s="48">
        <f t="shared" si="3"/>
        <v>310.2430272</v>
      </c>
      <c r="D275" s="48">
        <f t="shared" si="1"/>
        <v>2167.026973</v>
      </c>
      <c r="E275" s="48">
        <f t="shared" si="4"/>
        <v>65409.37245</v>
      </c>
      <c r="F275" s="48">
        <f t="shared" si="5"/>
        <v>386590.6276</v>
      </c>
      <c r="G275" s="49">
        <f t="shared" si="2"/>
        <v>0.8610036248</v>
      </c>
    </row>
    <row r="276">
      <c r="A276" s="45" t="s">
        <v>325</v>
      </c>
      <c r="B276" s="47">
        <v>2477.27</v>
      </c>
      <c r="C276" s="48">
        <f t="shared" si="3"/>
        <v>300.3380352</v>
      </c>
      <c r="D276" s="48">
        <f t="shared" si="1"/>
        <v>2176.931965</v>
      </c>
      <c r="E276" s="48">
        <f t="shared" si="4"/>
        <v>63242.34548</v>
      </c>
      <c r="F276" s="48">
        <f t="shared" si="5"/>
        <v>388757.6545</v>
      </c>
      <c r="G276" s="49">
        <f t="shared" si="2"/>
        <v>0.8658299655</v>
      </c>
    </row>
    <row r="277">
      <c r="A277" s="45" t="s">
        <v>326</v>
      </c>
      <c r="B277" s="47">
        <v>2477.27</v>
      </c>
      <c r="C277" s="48">
        <f t="shared" si="3"/>
        <v>290.3877696</v>
      </c>
      <c r="D277" s="48">
        <f t="shared" si="1"/>
        <v>2186.88223</v>
      </c>
      <c r="E277" s="48">
        <f t="shared" si="4"/>
        <v>61065.41351</v>
      </c>
      <c r="F277" s="48">
        <f t="shared" si="5"/>
        <v>390934.5865</v>
      </c>
      <c r="G277" s="49">
        <f t="shared" si="2"/>
        <v>0.8706783663</v>
      </c>
    </row>
    <row r="278">
      <c r="A278" s="45" t="s">
        <v>327</v>
      </c>
      <c r="B278" s="47">
        <v>2477.27</v>
      </c>
      <c r="C278" s="48">
        <f t="shared" si="3"/>
        <v>280.3920237</v>
      </c>
      <c r="D278" s="48">
        <f t="shared" si="1"/>
        <v>2196.877976</v>
      </c>
      <c r="E278" s="48">
        <f t="shared" si="4"/>
        <v>58878.53128</v>
      </c>
      <c r="F278" s="48">
        <f t="shared" si="5"/>
        <v>393121.4687</v>
      </c>
      <c r="G278" s="49">
        <f t="shared" si="2"/>
        <v>0.8755489281</v>
      </c>
    </row>
    <row r="279">
      <c r="A279" s="45" t="s">
        <v>328</v>
      </c>
      <c r="B279" s="47">
        <v>2477.27</v>
      </c>
      <c r="C279" s="48">
        <f t="shared" si="3"/>
        <v>270.3505895</v>
      </c>
      <c r="D279" s="48">
        <f t="shared" si="1"/>
        <v>2206.919411</v>
      </c>
      <c r="E279" s="48">
        <f t="shared" si="4"/>
        <v>56681.6533</v>
      </c>
      <c r="F279" s="48">
        <f t="shared" si="5"/>
        <v>395318.3467</v>
      </c>
      <c r="G279" s="49">
        <f t="shared" si="2"/>
        <v>0.8804417521</v>
      </c>
    </row>
    <row r="280">
      <c r="A280" s="45" t="s">
        <v>329</v>
      </c>
      <c r="B280" s="47">
        <v>2477.27</v>
      </c>
      <c r="C280" s="48">
        <f t="shared" si="3"/>
        <v>260.2632581</v>
      </c>
      <c r="D280" s="48">
        <f t="shared" si="1"/>
        <v>2217.006742</v>
      </c>
      <c r="E280" s="48">
        <f t="shared" si="4"/>
        <v>54474.73389</v>
      </c>
      <c r="F280" s="48">
        <f t="shared" si="5"/>
        <v>397525.2661</v>
      </c>
      <c r="G280" s="49">
        <f t="shared" si="2"/>
        <v>0.8853569401</v>
      </c>
    </row>
    <row r="281">
      <c r="A281" s="45" t="s">
        <v>330</v>
      </c>
      <c r="B281" s="47">
        <v>2477.27</v>
      </c>
      <c r="C281" s="48">
        <f t="shared" si="3"/>
        <v>250.1298198</v>
      </c>
      <c r="D281" s="48">
        <f t="shared" si="1"/>
        <v>2227.14018</v>
      </c>
      <c r="E281" s="48">
        <f t="shared" si="4"/>
        <v>52257.72715</v>
      </c>
      <c r="F281" s="48">
        <f t="shared" si="5"/>
        <v>399742.2728</v>
      </c>
      <c r="G281" s="49">
        <f t="shared" si="2"/>
        <v>0.8902945943</v>
      </c>
    </row>
    <row r="282">
      <c r="A282" s="45" t="s">
        <v>331</v>
      </c>
      <c r="B282" s="47">
        <v>2477.27</v>
      </c>
      <c r="C282" s="48">
        <f t="shared" si="3"/>
        <v>239.9500638</v>
      </c>
      <c r="D282" s="48">
        <f t="shared" si="1"/>
        <v>2237.319936</v>
      </c>
      <c r="E282" s="48">
        <f t="shared" si="4"/>
        <v>50030.58697</v>
      </c>
      <c r="F282" s="48">
        <f t="shared" si="5"/>
        <v>401969.413</v>
      </c>
      <c r="G282" s="49">
        <f t="shared" si="2"/>
        <v>0.8952548174</v>
      </c>
    </row>
    <row r="283">
      <c r="A283" s="45" t="s">
        <v>332</v>
      </c>
      <c r="B283" s="47">
        <v>2477.27</v>
      </c>
      <c r="C283" s="48">
        <f t="shared" si="3"/>
        <v>229.7237785</v>
      </c>
      <c r="D283" s="48">
        <f t="shared" si="1"/>
        <v>2247.546221</v>
      </c>
      <c r="E283" s="48">
        <f t="shared" si="4"/>
        <v>47793.26704</v>
      </c>
      <c r="F283" s="48">
        <f t="shared" si="5"/>
        <v>404206.733</v>
      </c>
      <c r="G283" s="49">
        <f t="shared" si="2"/>
        <v>0.9002377126</v>
      </c>
    </row>
    <row r="284">
      <c r="A284" s="45" t="s">
        <v>333</v>
      </c>
      <c r="B284" s="47">
        <v>2477.27</v>
      </c>
      <c r="C284" s="48">
        <f t="shared" si="3"/>
        <v>219.4507511</v>
      </c>
      <c r="D284" s="48">
        <f t="shared" si="1"/>
        <v>2257.819249</v>
      </c>
      <c r="E284" s="48">
        <f t="shared" si="4"/>
        <v>45545.72081</v>
      </c>
      <c r="F284" s="48">
        <f t="shared" si="5"/>
        <v>406454.2792</v>
      </c>
      <c r="G284" s="49">
        <f t="shared" si="2"/>
        <v>0.9052433835</v>
      </c>
    </row>
    <row r="285">
      <c r="A285" s="45" t="s">
        <v>334</v>
      </c>
      <c r="B285" s="47">
        <v>2477.27</v>
      </c>
      <c r="C285" s="48">
        <f t="shared" si="3"/>
        <v>209.1307681</v>
      </c>
      <c r="D285" s="48">
        <f t="shared" si="1"/>
        <v>2268.139232</v>
      </c>
      <c r="E285" s="48">
        <f t="shared" si="4"/>
        <v>43287.90157</v>
      </c>
      <c r="F285" s="48">
        <f t="shared" si="5"/>
        <v>408712.0984</v>
      </c>
      <c r="G285" s="49">
        <f t="shared" si="2"/>
        <v>0.9102719342</v>
      </c>
    </row>
    <row r="286">
      <c r="A286" s="45" t="s">
        <v>335</v>
      </c>
      <c r="B286" s="47">
        <v>2477.27</v>
      </c>
      <c r="C286" s="48">
        <f t="shared" si="3"/>
        <v>198.7636147</v>
      </c>
      <c r="D286" s="48">
        <f t="shared" si="1"/>
        <v>2278.506385</v>
      </c>
      <c r="E286" s="48">
        <f t="shared" si="4"/>
        <v>41019.76233</v>
      </c>
      <c r="F286" s="48">
        <f t="shared" si="5"/>
        <v>410980.2377</v>
      </c>
      <c r="G286" s="49">
        <f t="shared" si="2"/>
        <v>0.9153234692</v>
      </c>
    </row>
    <row r="287">
      <c r="A287" s="45" t="s">
        <v>336</v>
      </c>
      <c r="B287" s="47">
        <v>2477.27</v>
      </c>
      <c r="C287" s="48">
        <f t="shared" si="3"/>
        <v>188.3490754</v>
      </c>
      <c r="D287" s="48">
        <f t="shared" si="1"/>
        <v>2288.920925</v>
      </c>
      <c r="E287" s="48">
        <f t="shared" si="4"/>
        <v>38741.25595</v>
      </c>
      <c r="F287" s="48">
        <f t="shared" si="5"/>
        <v>413258.7441</v>
      </c>
      <c r="G287" s="49">
        <f t="shared" si="2"/>
        <v>0.9203980937</v>
      </c>
    </row>
    <row r="288">
      <c r="A288" s="45" t="s">
        <v>337</v>
      </c>
      <c r="B288" s="47">
        <v>2477.27</v>
      </c>
      <c r="C288" s="48">
        <f t="shared" si="3"/>
        <v>177.8869336</v>
      </c>
      <c r="D288" s="48">
        <f t="shared" si="1"/>
        <v>2299.383066</v>
      </c>
      <c r="E288" s="48">
        <f t="shared" si="4"/>
        <v>36452.33502</v>
      </c>
      <c r="F288" s="48">
        <f t="shared" si="5"/>
        <v>415547.665</v>
      </c>
      <c r="G288" s="49">
        <f t="shared" si="2"/>
        <v>0.9254959131</v>
      </c>
    </row>
    <row r="289">
      <c r="A289" s="45" t="s">
        <v>338</v>
      </c>
      <c r="B289" s="47">
        <v>2477.27</v>
      </c>
      <c r="C289" s="48">
        <f t="shared" si="3"/>
        <v>167.3769717</v>
      </c>
      <c r="D289" s="48">
        <f t="shared" si="1"/>
        <v>2309.893028</v>
      </c>
      <c r="E289" s="48">
        <f t="shared" si="4"/>
        <v>34152.95196</v>
      </c>
      <c r="F289" s="48">
        <f t="shared" si="5"/>
        <v>417847.048</v>
      </c>
      <c r="G289" s="49">
        <f t="shared" si="2"/>
        <v>0.9306170335</v>
      </c>
    </row>
    <row r="290">
      <c r="A290" s="45" t="s">
        <v>339</v>
      </c>
      <c r="B290" s="47">
        <v>2477.27</v>
      </c>
      <c r="C290" s="48">
        <f t="shared" si="3"/>
        <v>156.8189711</v>
      </c>
      <c r="D290" s="48">
        <f t="shared" si="1"/>
        <v>2320.451029</v>
      </c>
      <c r="E290" s="48">
        <f t="shared" si="4"/>
        <v>31843.05893</v>
      </c>
      <c r="F290" s="48">
        <f t="shared" si="5"/>
        <v>420156.9411</v>
      </c>
      <c r="G290" s="49">
        <f t="shared" si="2"/>
        <v>0.9357615614</v>
      </c>
    </row>
    <row r="291">
      <c r="A291" s="45" t="s">
        <v>340</v>
      </c>
      <c r="B291" s="47">
        <v>2477.27</v>
      </c>
      <c r="C291" s="48">
        <f t="shared" si="3"/>
        <v>146.2127122</v>
      </c>
      <c r="D291" s="48">
        <f t="shared" si="1"/>
        <v>2331.057288</v>
      </c>
      <c r="E291" s="48">
        <f t="shared" si="4"/>
        <v>29522.6079</v>
      </c>
      <c r="F291" s="48">
        <f t="shared" si="5"/>
        <v>422477.3921</v>
      </c>
      <c r="G291" s="49">
        <f t="shared" si="2"/>
        <v>0.9409296038</v>
      </c>
    </row>
    <row r="292">
      <c r="A292" s="45" t="s">
        <v>341</v>
      </c>
      <c r="B292" s="47">
        <v>2477.27</v>
      </c>
      <c r="C292" s="48">
        <f t="shared" si="3"/>
        <v>135.5579746</v>
      </c>
      <c r="D292" s="48">
        <f t="shared" si="1"/>
        <v>2341.712025</v>
      </c>
      <c r="E292" s="48">
        <f t="shared" si="4"/>
        <v>27191.55061</v>
      </c>
      <c r="F292" s="48">
        <f t="shared" si="5"/>
        <v>424808.4494</v>
      </c>
      <c r="G292" s="49">
        <f t="shared" si="2"/>
        <v>0.9461212681</v>
      </c>
    </row>
    <row r="293">
      <c r="A293" s="45" t="s">
        <v>342</v>
      </c>
      <c r="B293" s="47">
        <v>2477.27</v>
      </c>
      <c r="C293" s="48">
        <f t="shared" si="3"/>
        <v>124.8545366</v>
      </c>
      <c r="D293" s="48">
        <f t="shared" si="1"/>
        <v>2352.415463</v>
      </c>
      <c r="E293" s="48">
        <f t="shared" si="4"/>
        <v>24849.83859</v>
      </c>
      <c r="F293" s="48">
        <f t="shared" si="5"/>
        <v>427150.1614</v>
      </c>
      <c r="G293" s="49">
        <f t="shared" si="2"/>
        <v>0.9513366624</v>
      </c>
    </row>
    <row r="294">
      <c r="A294" s="45" t="s">
        <v>343</v>
      </c>
      <c r="B294" s="47">
        <v>2477.27</v>
      </c>
      <c r="C294" s="48">
        <f t="shared" si="3"/>
        <v>114.1021755</v>
      </c>
      <c r="D294" s="48">
        <f t="shared" si="1"/>
        <v>2363.167824</v>
      </c>
      <c r="E294" s="48">
        <f t="shared" si="4"/>
        <v>22497.42312</v>
      </c>
      <c r="F294" s="48">
        <f t="shared" si="5"/>
        <v>429502.5769</v>
      </c>
      <c r="G294" s="49">
        <f t="shared" si="2"/>
        <v>0.956575895</v>
      </c>
    </row>
    <row r="295">
      <c r="A295" s="45" t="s">
        <v>344</v>
      </c>
      <c r="B295" s="47">
        <v>2477.27</v>
      </c>
      <c r="C295" s="48">
        <f t="shared" si="3"/>
        <v>103.3006678</v>
      </c>
      <c r="D295" s="48">
        <f t="shared" si="1"/>
        <v>2373.969332</v>
      </c>
      <c r="E295" s="48">
        <f t="shared" si="4"/>
        <v>20134.2553</v>
      </c>
      <c r="F295" s="48">
        <f t="shared" si="5"/>
        <v>431865.7447</v>
      </c>
      <c r="G295" s="49">
        <f t="shared" si="2"/>
        <v>0.9618390751</v>
      </c>
    </row>
    <row r="296">
      <c r="A296" s="45" t="s">
        <v>345</v>
      </c>
      <c r="B296" s="47">
        <v>2477.27</v>
      </c>
      <c r="C296" s="48">
        <f t="shared" si="3"/>
        <v>92.44978892</v>
      </c>
      <c r="D296" s="48">
        <f t="shared" si="1"/>
        <v>2384.820211</v>
      </c>
      <c r="E296" s="48">
        <f t="shared" si="4"/>
        <v>17760.28597</v>
      </c>
      <c r="F296" s="48">
        <f t="shared" si="5"/>
        <v>434239.714</v>
      </c>
      <c r="G296" s="49">
        <f t="shared" si="2"/>
        <v>0.9671263119</v>
      </c>
    </row>
    <row r="297">
      <c r="A297" s="45" t="s">
        <v>346</v>
      </c>
      <c r="B297" s="47">
        <v>2477.27</v>
      </c>
      <c r="C297" s="48">
        <f t="shared" si="3"/>
        <v>81.54931307</v>
      </c>
      <c r="D297" s="48">
        <f t="shared" si="1"/>
        <v>2395.720687</v>
      </c>
      <c r="E297" s="48">
        <f t="shared" si="4"/>
        <v>15375.46576</v>
      </c>
      <c r="F297" s="48">
        <f t="shared" si="5"/>
        <v>436624.5342</v>
      </c>
      <c r="G297" s="49">
        <f t="shared" si="2"/>
        <v>0.9724377155</v>
      </c>
    </row>
    <row r="298">
      <c r="A298" s="45" t="s">
        <v>347</v>
      </c>
      <c r="B298" s="47">
        <v>2477.27</v>
      </c>
      <c r="C298" s="48">
        <f t="shared" si="3"/>
        <v>70.5990136</v>
      </c>
      <c r="D298" s="48">
        <f t="shared" si="1"/>
        <v>2406.670986</v>
      </c>
      <c r="E298" s="48">
        <f t="shared" si="4"/>
        <v>12979.74507</v>
      </c>
      <c r="F298" s="48">
        <f t="shared" si="5"/>
        <v>439020.2549</v>
      </c>
      <c r="G298" s="49">
        <f t="shared" si="2"/>
        <v>0.9777733963</v>
      </c>
    </row>
    <row r="299">
      <c r="A299" s="45" t="s">
        <v>348</v>
      </c>
      <c r="B299" s="47">
        <v>2477.27</v>
      </c>
      <c r="C299" s="48">
        <f t="shared" si="3"/>
        <v>59.59866278</v>
      </c>
      <c r="D299" s="48">
        <f t="shared" si="1"/>
        <v>2417.671337</v>
      </c>
      <c r="E299" s="48">
        <f t="shared" si="4"/>
        <v>10573.07408</v>
      </c>
      <c r="F299" s="48">
        <f t="shared" si="5"/>
        <v>441426.9259</v>
      </c>
      <c r="G299" s="49">
        <f t="shared" si="2"/>
        <v>0.9831334653</v>
      </c>
    </row>
    <row r="300">
      <c r="A300" s="45" t="s">
        <v>349</v>
      </c>
      <c r="B300" s="47">
        <v>2477.27</v>
      </c>
      <c r="C300" s="48">
        <f t="shared" si="3"/>
        <v>48.54803183</v>
      </c>
      <c r="D300" s="48">
        <f t="shared" si="1"/>
        <v>2428.721968</v>
      </c>
      <c r="E300" s="48">
        <f t="shared" si="4"/>
        <v>8155.402745</v>
      </c>
      <c r="F300" s="48">
        <f t="shared" si="5"/>
        <v>443844.5973</v>
      </c>
      <c r="G300" s="49">
        <f t="shared" si="2"/>
        <v>0.988518034</v>
      </c>
    </row>
    <row r="301">
      <c r="A301" s="45" t="s">
        <v>350</v>
      </c>
      <c r="B301" s="47">
        <v>2477.27</v>
      </c>
      <c r="C301" s="48">
        <f t="shared" si="3"/>
        <v>37.44689094</v>
      </c>
      <c r="D301" s="48">
        <f t="shared" si="1"/>
        <v>2439.823109</v>
      </c>
      <c r="E301" s="48">
        <f t="shared" si="4"/>
        <v>5726.680777</v>
      </c>
      <c r="F301" s="48">
        <f t="shared" si="5"/>
        <v>446273.3192</v>
      </c>
      <c r="G301" s="49">
        <f t="shared" si="2"/>
        <v>0.9939272143</v>
      </c>
    </row>
    <row r="302">
      <c r="A302" s="45" t="s">
        <v>351</v>
      </c>
      <c r="B302" s="56">
        <f t="shared" ref="B302:D302" si="7">SUM(B2:B301)</f>
        <v>743181</v>
      </c>
      <c r="C302" s="56">
        <f t="shared" si="7"/>
        <v>343467.8577</v>
      </c>
      <c r="D302" s="56">
        <f t="shared" si="7"/>
        <v>399713.1423</v>
      </c>
      <c r="E302" s="56"/>
      <c r="F302" s="44"/>
      <c r="G302" s="49">
        <f t="shared" si="2"/>
        <v>0</v>
      </c>
    </row>
    <row r="303">
      <c r="A303" s="57"/>
    </row>
    <row r="304">
      <c r="A304" s="57"/>
    </row>
    <row r="305">
      <c r="A305" s="57"/>
    </row>
    <row r="306">
      <c r="A306" s="57"/>
    </row>
    <row r="307">
      <c r="A307" s="57"/>
    </row>
    <row r="308">
      <c r="A308" s="57"/>
    </row>
    <row r="309">
      <c r="A309" s="57"/>
    </row>
    <row r="310">
      <c r="A310" s="57"/>
    </row>
    <row r="311">
      <c r="A311" s="57"/>
    </row>
    <row r="312">
      <c r="A312" s="57"/>
    </row>
    <row r="313">
      <c r="A313" s="57"/>
    </row>
    <row r="314">
      <c r="A314" s="57"/>
    </row>
    <row r="315">
      <c r="A315" s="57"/>
    </row>
    <row r="316">
      <c r="A316" s="57"/>
    </row>
    <row r="317">
      <c r="A317" s="57"/>
    </row>
    <row r="318">
      <c r="A318" s="57"/>
    </row>
    <row r="319">
      <c r="A319" s="57"/>
    </row>
    <row r="320">
      <c r="A320" s="57"/>
    </row>
    <row r="321">
      <c r="A321" s="57"/>
    </row>
    <row r="322">
      <c r="A322" s="57"/>
    </row>
    <row r="323">
      <c r="A323" s="57"/>
    </row>
    <row r="324">
      <c r="A324" s="57"/>
    </row>
    <row r="325">
      <c r="A325" s="57"/>
    </row>
    <row r="326">
      <c r="A326" s="57"/>
    </row>
    <row r="327">
      <c r="A327" s="57"/>
    </row>
    <row r="328">
      <c r="A328" s="57"/>
    </row>
    <row r="329">
      <c r="A329" s="57"/>
    </row>
    <row r="330">
      <c r="A330" s="57"/>
    </row>
    <row r="331">
      <c r="A331" s="57"/>
    </row>
    <row r="332">
      <c r="A332" s="57"/>
    </row>
    <row r="333">
      <c r="A333" s="57"/>
    </row>
    <row r="334">
      <c r="A334" s="57"/>
    </row>
    <row r="335">
      <c r="A335" s="57"/>
    </row>
    <row r="336">
      <c r="A336" s="57"/>
    </row>
    <row r="337">
      <c r="A337" s="57"/>
    </row>
    <row r="338">
      <c r="A338" s="57"/>
    </row>
    <row r="339">
      <c r="A339" s="57"/>
    </row>
    <row r="340">
      <c r="A340" s="57"/>
    </row>
    <row r="341">
      <c r="A341" s="57"/>
    </row>
    <row r="342">
      <c r="A342" s="57"/>
    </row>
    <row r="343">
      <c r="A343" s="57"/>
    </row>
    <row r="344">
      <c r="A344" s="57"/>
    </row>
    <row r="345">
      <c r="A345" s="57"/>
    </row>
    <row r="346">
      <c r="A346" s="57"/>
    </row>
    <row r="347">
      <c r="A347" s="57"/>
    </row>
    <row r="348">
      <c r="A348" s="57"/>
    </row>
    <row r="349">
      <c r="A349" s="57"/>
    </row>
    <row r="350">
      <c r="A350" s="57"/>
    </row>
    <row r="351">
      <c r="A351" s="57"/>
    </row>
    <row r="352">
      <c r="A352" s="57"/>
    </row>
    <row r="353">
      <c r="A353" s="57"/>
    </row>
    <row r="354">
      <c r="A354" s="57"/>
    </row>
    <row r="355">
      <c r="A355" s="57"/>
    </row>
    <row r="356">
      <c r="A356" s="57"/>
    </row>
    <row r="357">
      <c r="A357" s="57"/>
    </row>
    <row r="358">
      <c r="A358" s="57"/>
    </row>
    <row r="359">
      <c r="A359" s="57"/>
    </row>
    <row r="360">
      <c r="A360" s="57"/>
    </row>
    <row r="361">
      <c r="A361" s="57"/>
    </row>
    <row r="362">
      <c r="A362" s="57"/>
    </row>
    <row r="363">
      <c r="A363" s="57"/>
    </row>
    <row r="364">
      <c r="A364" s="57"/>
    </row>
    <row r="365">
      <c r="A365" s="57"/>
    </row>
    <row r="366">
      <c r="A366" s="57"/>
    </row>
    <row r="367">
      <c r="A367" s="57"/>
    </row>
    <row r="368">
      <c r="A368" s="57"/>
    </row>
    <row r="369">
      <c r="A369" s="57"/>
    </row>
    <row r="370">
      <c r="A370" s="57"/>
    </row>
    <row r="371">
      <c r="A371" s="57"/>
    </row>
    <row r="372">
      <c r="A372" s="57"/>
    </row>
    <row r="373">
      <c r="A373" s="57"/>
    </row>
    <row r="374">
      <c r="A374" s="57"/>
    </row>
    <row r="375">
      <c r="A375" s="57"/>
    </row>
    <row r="376">
      <c r="A376" s="57"/>
    </row>
    <row r="377">
      <c r="A377" s="57"/>
    </row>
    <row r="378">
      <c r="A378" s="57"/>
    </row>
    <row r="379">
      <c r="A379" s="57"/>
    </row>
    <row r="380">
      <c r="A380" s="57"/>
    </row>
    <row r="381">
      <c r="A381" s="57"/>
    </row>
    <row r="382">
      <c r="A382" s="57"/>
    </row>
    <row r="383">
      <c r="A383" s="57"/>
    </row>
    <row r="384">
      <c r="A384" s="57"/>
    </row>
    <row r="385">
      <c r="A385" s="57"/>
    </row>
    <row r="386">
      <c r="A386" s="57"/>
    </row>
    <row r="387">
      <c r="A387" s="57"/>
    </row>
    <row r="388">
      <c r="A388" s="57"/>
    </row>
    <row r="389">
      <c r="A389" s="57"/>
    </row>
    <row r="390">
      <c r="A390" s="57"/>
    </row>
    <row r="391">
      <c r="A391" s="57"/>
    </row>
    <row r="392">
      <c r="A392" s="57"/>
    </row>
    <row r="393">
      <c r="A393" s="57"/>
    </row>
    <row r="394">
      <c r="A394" s="57"/>
    </row>
    <row r="395">
      <c r="A395" s="57"/>
    </row>
    <row r="396">
      <c r="A396" s="57"/>
    </row>
    <row r="397">
      <c r="A397" s="57"/>
    </row>
    <row r="398">
      <c r="A398" s="57"/>
    </row>
    <row r="399">
      <c r="A399" s="57"/>
    </row>
    <row r="400">
      <c r="A400" s="57"/>
    </row>
    <row r="401">
      <c r="A401" s="57"/>
    </row>
    <row r="402">
      <c r="A402" s="57"/>
    </row>
    <row r="403">
      <c r="A403" s="57"/>
    </row>
    <row r="404">
      <c r="A404" s="57"/>
    </row>
    <row r="405">
      <c r="A405" s="57"/>
    </row>
    <row r="406">
      <c r="A406" s="57"/>
    </row>
    <row r="407">
      <c r="A407" s="57"/>
    </row>
    <row r="408">
      <c r="A408" s="57"/>
    </row>
    <row r="409">
      <c r="A409" s="57"/>
    </row>
    <row r="410">
      <c r="A410" s="57"/>
    </row>
    <row r="411">
      <c r="A411" s="57"/>
    </row>
    <row r="412">
      <c r="A412" s="57"/>
    </row>
    <row r="413">
      <c r="A413" s="57"/>
    </row>
    <row r="414">
      <c r="A414" s="57"/>
    </row>
    <row r="415">
      <c r="A415" s="57"/>
    </row>
    <row r="416">
      <c r="A416" s="57"/>
    </row>
    <row r="417">
      <c r="A417" s="57"/>
    </row>
    <row r="418">
      <c r="A418" s="57"/>
    </row>
    <row r="419">
      <c r="A419" s="57"/>
    </row>
    <row r="420">
      <c r="A420" s="57"/>
    </row>
    <row r="421">
      <c r="A421" s="57"/>
    </row>
    <row r="422">
      <c r="A422" s="57"/>
    </row>
    <row r="423">
      <c r="A423" s="57"/>
    </row>
    <row r="424">
      <c r="A424" s="57"/>
    </row>
    <row r="425">
      <c r="A425" s="57"/>
    </row>
    <row r="426">
      <c r="A426" s="57"/>
    </row>
    <row r="427">
      <c r="A427" s="57"/>
    </row>
    <row r="428">
      <c r="A428" s="57"/>
    </row>
    <row r="429">
      <c r="A429" s="57"/>
    </row>
    <row r="430">
      <c r="A430" s="57"/>
    </row>
    <row r="431">
      <c r="A431" s="57"/>
    </row>
    <row r="432">
      <c r="A432" s="57"/>
    </row>
    <row r="433">
      <c r="A433" s="57"/>
    </row>
    <row r="434">
      <c r="A434" s="57"/>
    </row>
    <row r="435">
      <c r="A435" s="57"/>
    </row>
    <row r="436">
      <c r="A436" s="57"/>
    </row>
    <row r="437">
      <c r="A437" s="57"/>
    </row>
    <row r="438">
      <c r="A438" s="57"/>
    </row>
    <row r="439">
      <c r="A439" s="57"/>
    </row>
    <row r="440">
      <c r="A440" s="57"/>
    </row>
    <row r="441">
      <c r="A441" s="57"/>
    </row>
    <row r="442">
      <c r="A442" s="57"/>
    </row>
    <row r="443">
      <c r="A443" s="57"/>
    </row>
    <row r="444">
      <c r="A444" s="57"/>
    </row>
    <row r="445">
      <c r="A445" s="57"/>
    </row>
    <row r="446">
      <c r="A446" s="57"/>
    </row>
    <row r="447">
      <c r="A447" s="57"/>
    </row>
    <row r="448">
      <c r="A448" s="57"/>
    </row>
    <row r="449">
      <c r="A449" s="57"/>
    </row>
    <row r="450">
      <c r="A450" s="57"/>
    </row>
    <row r="451">
      <c r="A451" s="57"/>
    </row>
    <row r="452">
      <c r="A452" s="57"/>
    </row>
    <row r="453">
      <c r="A453" s="57"/>
    </row>
    <row r="454">
      <c r="A454" s="57"/>
    </row>
    <row r="455">
      <c r="A455" s="57"/>
    </row>
    <row r="456">
      <c r="A456" s="57"/>
    </row>
    <row r="457">
      <c r="A457" s="57"/>
    </row>
    <row r="458">
      <c r="A458" s="57"/>
    </row>
    <row r="459">
      <c r="A459" s="57"/>
    </row>
    <row r="460">
      <c r="A460" s="57"/>
    </row>
    <row r="461">
      <c r="A461" s="57"/>
    </row>
    <row r="462">
      <c r="A462" s="57"/>
    </row>
    <row r="463">
      <c r="A463" s="57"/>
    </row>
    <row r="464">
      <c r="A464" s="57"/>
    </row>
    <row r="465">
      <c r="A465" s="57"/>
    </row>
    <row r="466">
      <c r="A466" s="57"/>
    </row>
    <row r="467">
      <c r="A467" s="57"/>
    </row>
    <row r="468">
      <c r="A468" s="57"/>
    </row>
    <row r="469">
      <c r="A469" s="57"/>
    </row>
    <row r="470">
      <c r="A470" s="57"/>
    </row>
    <row r="471">
      <c r="A471" s="57"/>
    </row>
    <row r="472">
      <c r="A472" s="57"/>
    </row>
    <row r="473">
      <c r="A473" s="57"/>
    </row>
    <row r="474">
      <c r="A474" s="57"/>
    </row>
    <row r="475">
      <c r="A475" s="57"/>
    </row>
    <row r="476">
      <c r="A476" s="57"/>
    </row>
    <row r="477">
      <c r="A477" s="57"/>
    </row>
    <row r="478">
      <c r="A478" s="57"/>
    </row>
    <row r="479">
      <c r="A479" s="57"/>
    </row>
    <row r="480">
      <c r="A480" s="57"/>
    </row>
    <row r="481">
      <c r="A481" s="57"/>
    </row>
    <row r="482">
      <c r="A482" s="57"/>
    </row>
    <row r="483">
      <c r="A483" s="57"/>
    </row>
    <row r="484">
      <c r="A484" s="57"/>
    </row>
    <row r="485">
      <c r="A485" s="57"/>
    </row>
    <row r="486">
      <c r="A486" s="57"/>
    </row>
    <row r="487">
      <c r="A487" s="57"/>
    </row>
    <row r="488">
      <c r="A488" s="57"/>
    </row>
    <row r="489">
      <c r="A489" s="57"/>
    </row>
    <row r="490">
      <c r="A490" s="57"/>
    </row>
    <row r="491">
      <c r="A491" s="57"/>
    </row>
    <row r="492">
      <c r="A492" s="57"/>
    </row>
    <row r="493">
      <c r="A493" s="57"/>
    </row>
    <row r="494">
      <c r="A494" s="57"/>
    </row>
    <row r="495">
      <c r="A495" s="57"/>
    </row>
    <row r="496">
      <c r="A496" s="57"/>
    </row>
    <row r="497">
      <c r="A497" s="57"/>
    </row>
    <row r="498">
      <c r="A498" s="57"/>
    </row>
    <row r="499">
      <c r="A499" s="57"/>
    </row>
    <row r="500">
      <c r="A500" s="57"/>
    </row>
    <row r="501">
      <c r="A501" s="57"/>
    </row>
    <row r="502">
      <c r="A502" s="57"/>
    </row>
    <row r="503">
      <c r="A503" s="57"/>
    </row>
    <row r="504">
      <c r="A504" s="57"/>
    </row>
    <row r="505">
      <c r="A505" s="57"/>
    </row>
    <row r="506">
      <c r="A506" s="57"/>
    </row>
    <row r="507">
      <c r="A507" s="57"/>
    </row>
    <row r="508">
      <c r="A508" s="57"/>
    </row>
    <row r="509">
      <c r="A509" s="57"/>
    </row>
    <row r="510">
      <c r="A510" s="57"/>
    </row>
    <row r="511">
      <c r="A511" s="57"/>
    </row>
    <row r="512">
      <c r="A512" s="57"/>
    </row>
    <row r="513">
      <c r="A513" s="57"/>
    </row>
    <row r="514">
      <c r="A514" s="57"/>
    </row>
    <row r="515">
      <c r="A515" s="57"/>
    </row>
    <row r="516">
      <c r="A516" s="57"/>
    </row>
    <row r="517">
      <c r="A517" s="57"/>
    </row>
    <row r="518">
      <c r="A518" s="57"/>
    </row>
    <row r="519">
      <c r="A519" s="57"/>
    </row>
    <row r="520">
      <c r="A520" s="57"/>
    </row>
    <row r="521">
      <c r="A521" s="57"/>
    </row>
    <row r="522">
      <c r="A522" s="57"/>
    </row>
    <row r="523">
      <c r="A523" s="57"/>
    </row>
    <row r="524">
      <c r="A524" s="57"/>
    </row>
    <row r="525">
      <c r="A525" s="57"/>
    </row>
    <row r="526">
      <c r="A526" s="57"/>
    </row>
    <row r="527">
      <c r="A527" s="57"/>
    </row>
    <row r="528">
      <c r="A528" s="57"/>
    </row>
    <row r="529">
      <c r="A529" s="57"/>
    </row>
    <row r="530">
      <c r="A530" s="57"/>
    </row>
    <row r="531">
      <c r="A531" s="57"/>
    </row>
    <row r="532">
      <c r="A532" s="57"/>
    </row>
    <row r="533">
      <c r="A533" s="57"/>
    </row>
    <row r="534">
      <c r="A534" s="57"/>
    </row>
    <row r="535">
      <c r="A535" s="57"/>
    </row>
    <row r="536">
      <c r="A536" s="57"/>
    </row>
    <row r="537">
      <c r="A537" s="57"/>
    </row>
    <row r="538">
      <c r="A538" s="57"/>
    </row>
    <row r="539">
      <c r="A539" s="57"/>
    </row>
    <row r="540">
      <c r="A540" s="57"/>
    </row>
    <row r="541">
      <c r="A541" s="57"/>
    </row>
    <row r="542">
      <c r="A542" s="57"/>
    </row>
    <row r="543">
      <c r="A543" s="57"/>
    </row>
    <row r="544">
      <c r="A544" s="57"/>
    </row>
    <row r="545">
      <c r="A545" s="57"/>
    </row>
    <row r="546">
      <c r="A546" s="57"/>
    </row>
    <row r="547">
      <c r="A547" s="57"/>
    </row>
    <row r="548">
      <c r="A548" s="57"/>
    </row>
    <row r="549">
      <c r="A549" s="57"/>
    </row>
    <row r="550">
      <c r="A550" s="57"/>
    </row>
    <row r="551">
      <c r="A551" s="57"/>
    </row>
    <row r="552">
      <c r="A552" s="57"/>
    </row>
    <row r="553">
      <c r="A553" s="57"/>
    </row>
    <row r="554">
      <c r="A554" s="57"/>
    </row>
    <row r="555">
      <c r="A555" s="57"/>
    </row>
    <row r="556">
      <c r="A556" s="57"/>
    </row>
    <row r="557">
      <c r="A557" s="57"/>
    </row>
    <row r="558">
      <c r="A558" s="57"/>
    </row>
    <row r="559">
      <c r="A559" s="57"/>
    </row>
    <row r="560">
      <c r="A560" s="57"/>
    </row>
    <row r="561">
      <c r="A561" s="57"/>
    </row>
    <row r="562">
      <c r="A562" s="57"/>
    </row>
    <row r="563">
      <c r="A563" s="57"/>
    </row>
    <row r="564">
      <c r="A564" s="57"/>
    </row>
    <row r="565">
      <c r="A565" s="57"/>
    </row>
    <row r="566">
      <c r="A566" s="57"/>
    </row>
    <row r="567">
      <c r="A567" s="57"/>
    </row>
    <row r="568">
      <c r="A568" s="57"/>
    </row>
    <row r="569">
      <c r="A569" s="57"/>
    </row>
    <row r="570">
      <c r="A570" s="57"/>
    </row>
    <row r="571">
      <c r="A571" s="57"/>
    </row>
    <row r="572">
      <c r="A572" s="57"/>
    </row>
    <row r="573">
      <c r="A573" s="57"/>
    </row>
    <row r="574">
      <c r="A574" s="57"/>
    </row>
    <row r="575">
      <c r="A575" s="57"/>
    </row>
    <row r="576">
      <c r="A576" s="57"/>
    </row>
    <row r="577">
      <c r="A577" s="57"/>
    </row>
    <row r="578">
      <c r="A578" s="57"/>
    </row>
    <row r="579">
      <c r="A579" s="57"/>
    </row>
    <row r="580">
      <c r="A580" s="57"/>
    </row>
    <row r="581">
      <c r="A581" s="57"/>
    </row>
    <row r="582">
      <c r="A582" s="57"/>
    </row>
    <row r="583">
      <c r="A583" s="57"/>
    </row>
    <row r="584">
      <c r="A584" s="57"/>
    </row>
    <row r="585">
      <c r="A585" s="57"/>
    </row>
    <row r="586">
      <c r="A586" s="57"/>
    </row>
    <row r="587">
      <c r="A587" s="57"/>
    </row>
    <row r="588">
      <c r="A588" s="57"/>
    </row>
    <row r="589">
      <c r="A589" s="57"/>
    </row>
    <row r="590">
      <c r="A590" s="57"/>
    </row>
    <row r="591">
      <c r="A591" s="57"/>
    </row>
    <row r="592">
      <c r="A592" s="57"/>
    </row>
    <row r="593">
      <c r="A593" s="57"/>
    </row>
    <row r="594">
      <c r="A594" s="57"/>
    </row>
    <row r="595">
      <c r="A595" s="57"/>
    </row>
    <row r="596">
      <c r="A596" s="57"/>
    </row>
    <row r="597">
      <c r="A597" s="57"/>
    </row>
    <row r="598">
      <c r="A598" s="57"/>
    </row>
    <row r="599">
      <c r="A599" s="57"/>
    </row>
    <row r="600">
      <c r="A600" s="57"/>
    </row>
    <row r="601">
      <c r="A601" s="57"/>
    </row>
    <row r="602">
      <c r="A602" s="57"/>
    </row>
    <row r="603">
      <c r="A603" s="57"/>
    </row>
    <row r="604">
      <c r="A604" s="57"/>
    </row>
    <row r="605">
      <c r="A605" s="57"/>
    </row>
    <row r="606">
      <c r="A606" s="57"/>
    </row>
    <row r="607">
      <c r="A607" s="57"/>
    </row>
    <row r="608">
      <c r="A608" s="57"/>
    </row>
    <row r="609">
      <c r="A609" s="57"/>
    </row>
    <row r="610">
      <c r="A610" s="57"/>
    </row>
    <row r="611">
      <c r="A611" s="57"/>
    </row>
    <row r="612">
      <c r="A612" s="57"/>
    </row>
    <row r="613">
      <c r="A613" s="57"/>
    </row>
    <row r="614">
      <c r="A614" s="57"/>
    </row>
    <row r="615">
      <c r="A615" s="57"/>
    </row>
    <row r="616">
      <c r="A616" s="57"/>
    </row>
    <row r="617">
      <c r="A617" s="57"/>
    </row>
    <row r="618">
      <c r="A618" s="57"/>
    </row>
    <row r="619">
      <c r="A619" s="57"/>
    </row>
    <row r="620">
      <c r="A620" s="57"/>
    </row>
    <row r="621">
      <c r="A621" s="57"/>
    </row>
    <row r="622">
      <c r="A622" s="57"/>
    </row>
    <row r="623">
      <c r="A623" s="57"/>
    </row>
    <row r="624">
      <c r="A624" s="57"/>
    </row>
    <row r="625">
      <c r="A625" s="57"/>
    </row>
    <row r="626">
      <c r="A626" s="57"/>
    </row>
    <row r="627">
      <c r="A627" s="57"/>
    </row>
    <row r="628">
      <c r="A628" s="57"/>
    </row>
    <row r="629">
      <c r="A629" s="57"/>
    </row>
    <row r="630">
      <c r="A630" s="57"/>
    </row>
    <row r="631">
      <c r="A631" s="57"/>
    </row>
    <row r="632">
      <c r="A632" s="57"/>
    </row>
    <row r="633">
      <c r="A633" s="57"/>
    </row>
    <row r="634">
      <c r="A634" s="57"/>
    </row>
    <row r="635">
      <c r="A635" s="57"/>
    </row>
    <row r="636">
      <c r="A636" s="57"/>
    </row>
    <row r="637">
      <c r="A637" s="57"/>
    </row>
    <row r="638">
      <c r="A638" s="57"/>
    </row>
    <row r="639">
      <c r="A639" s="57"/>
    </row>
    <row r="640">
      <c r="A640" s="57"/>
    </row>
    <row r="641">
      <c r="A641" s="57"/>
    </row>
    <row r="642">
      <c r="A642" s="57"/>
    </row>
    <row r="643">
      <c r="A643" s="57"/>
    </row>
    <row r="644">
      <c r="A644" s="57"/>
    </row>
    <row r="645">
      <c r="A645" s="57"/>
    </row>
    <row r="646">
      <c r="A646" s="57"/>
    </row>
    <row r="647">
      <c r="A647" s="57"/>
    </row>
    <row r="648">
      <c r="A648" s="57"/>
    </row>
    <row r="649">
      <c r="A649" s="57"/>
    </row>
    <row r="650">
      <c r="A650" s="57"/>
    </row>
    <row r="651">
      <c r="A651" s="57"/>
    </row>
    <row r="652">
      <c r="A652" s="57"/>
    </row>
    <row r="653">
      <c r="A653" s="57"/>
    </row>
    <row r="654">
      <c r="A654" s="57"/>
    </row>
    <row r="655">
      <c r="A655" s="57"/>
    </row>
    <row r="656">
      <c r="A656" s="57"/>
    </row>
    <row r="657">
      <c r="A657" s="57"/>
    </row>
    <row r="658">
      <c r="A658" s="57"/>
    </row>
    <row r="659">
      <c r="A659" s="57"/>
    </row>
    <row r="660">
      <c r="A660" s="57"/>
    </row>
    <row r="661">
      <c r="A661" s="57"/>
    </row>
    <row r="662">
      <c r="A662" s="57"/>
    </row>
    <row r="663">
      <c r="A663" s="57"/>
    </row>
    <row r="664">
      <c r="A664" s="57"/>
    </row>
    <row r="665">
      <c r="A665" s="57"/>
    </row>
    <row r="666">
      <c r="A666" s="57"/>
    </row>
    <row r="667">
      <c r="A667" s="57"/>
    </row>
    <row r="668">
      <c r="A668" s="57"/>
    </row>
    <row r="669">
      <c r="A669" s="57"/>
    </row>
    <row r="670">
      <c r="A670" s="57"/>
    </row>
    <row r="671">
      <c r="A671" s="57"/>
    </row>
    <row r="672">
      <c r="A672" s="57"/>
    </row>
    <row r="673">
      <c r="A673" s="57"/>
    </row>
    <row r="674">
      <c r="A674" s="57"/>
    </row>
    <row r="675">
      <c r="A675" s="57"/>
    </row>
    <row r="676">
      <c r="A676" s="57"/>
    </row>
    <row r="677">
      <c r="A677" s="57"/>
    </row>
    <row r="678">
      <c r="A678" s="57"/>
    </row>
    <row r="679">
      <c r="A679" s="57"/>
    </row>
    <row r="680">
      <c r="A680" s="57"/>
    </row>
    <row r="681">
      <c r="A681" s="57"/>
    </row>
    <row r="682">
      <c r="A682" s="57"/>
    </row>
    <row r="683">
      <c r="A683" s="57"/>
    </row>
    <row r="684">
      <c r="A684" s="57"/>
    </row>
    <row r="685">
      <c r="A685" s="57"/>
    </row>
    <row r="686">
      <c r="A686" s="57"/>
    </row>
    <row r="687">
      <c r="A687" s="57"/>
    </row>
    <row r="688">
      <c r="A688" s="57"/>
    </row>
    <row r="689">
      <c r="A689" s="57"/>
    </row>
    <row r="690">
      <c r="A690" s="57"/>
    </row>
    <row r="691">
      <c r="A691" s="57"/>
    </row>
    <row r="692">
      <c r="A692" s="57"/>
    </row>
    <row r="693">
      <c r="A693" s="57"/>
    </row>
    <row r="694">
      <c r="A694" s="57"/>
    </row>
    <row r="695">
      <c r="A695" s="57"/>
    </row>
    <row r="696">
      <c r="A696" s="57"/>
    </row>
    <row r="697">
      <c r="A697" s="57"/>
    </row>
    <row r="698">
      <c r="A698" s="57"/>
    </row>
    <row r="699">
      <c r="A699" s="57"/>
    </row>
    <row r="700">
      <c r="A700" s="57"/>
    </row>
    <row r="701">
      <c r="A701" s="57"/>
    </row>
    <row r="702">
      <c r="A702" s="57"/>
    </row>
    <row r="703">
      <c r="A703" s="57"/>
    </row>
    <row r="704">
      <c r="A704" s="57"/>
    </row>
    <row r="705">
      <c r="A705" s="57"/>
    </row>
    <row r="706">
      <c r="A706" s="57"/>
    </row>
    <row r="707">
      <c r="A707" s="57"/>
    </row>
    <row r="708">
      <c r="A708" s="57"/>
    </row>
    <row r="709">
      <c r="A709" s="57"/>
    </row>
    <row r="710">
      <c r="A710" s="57"/>
    </row>
    <row r="711">
      <c r="A711" s="57"/>
    </row>
    <row r="712">
      <c r="A712" s="57"/>
    </row>
    <row r="713">
      <c r="A713" s="57"/>
    </row>
    <row r="714">
      <c r="A714" s="57"/>
    </row>
    <row r="715">
      <c r="A715" s="57"/>
    </row>
    <row r="716">
      <c r="A716" s="57"/>
    </row>
    <row r="717">
      <c r="A717" s="57"/>
    </row>
    <row r="718">
      <c r="A718" s="57"/>
    </row>
    <row r="719">
      <c r="A719" s="57"/>
    </row>
    <row r="720">
      <c r="A720" s="57"/>
    </row>
    <row r="721">
      <c r="A721" s="57"/>
    </row>
    <row r="722">
      <c r="A722" s="57"/>
    </row>
    <row r="723">
      <c r="A723" s="57"/>
    </row>
    <row r="724">
      <c r="A724" s="57"/>
    </row>
    <row r="725">
      <c r="A725" s="57"/>
    </row>
    <row r="726">
      <c r="A726" s="57"/>
    </row>
    <row r="727">
      <c r="A727" s="57"/>
    </row>
    <row r="728">
      <c r="A728" s="57"/>
    </row>
    <row r="729">
      <c r="A729" s="57"/>
    </row>
    <row r="730">
      <c r="A730" s="57"/>
    </row>
    <row r="731">
      <c r="A731" s="57"/>
    </row>
    <row r="732">
      <c r="A732" s="57"/>
    </row>
    <row r="733">
      <c r="A733" s="57"/>
    </row>
    <row r="734">
      <c r="A734" s="57"/>
    </row>
    <row r="735">
      <c r="A735" s="57"/>
    </row>
    <row r="736">
      <c r="A736" s="57"/>
    </row>
    <row r="737">
      <c r="A737" s="57"/>
    </row>
    <row r="738">
      <c r="A738" s="57"/>
    </row>
    <row r="739">
      <c r="A739" s="57"/>
    </row>
    <row r="740">
      <c r="A740" s="57"/>
    </row>
    <row r="741">
      <c r="A741" s="57"/>
    </row>
    <row r="742">
      <c r="A742" s="57"/>
    </row>
    <row r="743">
      <c r="A743" s="57"/>
    </row>
    <row r="744">
      <c r="A744" s="57"/>
    </row>
    <row r="745">
      <c r="A745" s="57"/>
    </row>
    <row r="746">
      <c r="A746" s="57"/>
    </row>
    <row r="747">
      <c r="A747" s="57"/>
    </row>
    <row r="748">
      <c r="A748" s="57"/>
    </row>
    <row r="749">
      <c r="A749" s="57"/>
    </row>
    <row r="750">
      <c r="A750" s="57"/>
    </row>
    <row r="751">
      <c r="A751" s="57"/>
    </row>
    <row r="752">
      <c r="A752" s="57"/>
    </row>
    <row r="753">
      <c r="A753" s="57"/>
    </row>
    <row r="754">
      <c r="A754" s="57"/>
    </row>
    <row r="755">
      <c r="A755" s="57"/>
    </row>
    <row r="756">
      <c r="A756" s="57"/>
    </row>
    <row r="757">
      <c r="A757" s="57"/>
    </row>
    <row r="758">
      <c r="A758" s="57"/>
    </row>
    <row r="759">
      <c r="A759" s="57"/>
    </row>
    <row r="760">
      <c r="A760" s="57"/>
    </row>
    <row r="761">
      <c r="A761" s="57"/>
    </row>
    <row r="762">
      <c r="A762" s="57"/>
    </row>
    <row r="763">
      <c r="A763" s="57"/>
    </row>
    <row r="764">
      <c r="A764" s="57"/>
    </row>
    <row r="765">
      <c r="A765" s="57"/>
    </row>
    <row r="766">
      <c r="A766" s="57"/>
    </row>
    <row r="767">
      <c r="A767" s="57"/>
    </row>
    <row r="768">
      <c r="A768" s="57"/>
    </row>
    <row r="769">
      <c r="A769" s="57"/>
    </row>
    <row r="770">
      <c r="A770" s="57"/>
    </row>
    <row r="771">
      <c r="A771" s="57"/>
    </row>
    <row r="772">
      <c r="A772" s="57"/>
    </row>
    <row r="773">
      <c r="A773" s="57"/>
    </row>
    <row r="774">
      <c r="A774" s="57"/>
    </row>
    <row r="775">
      <c r="A775" s="57"/>
    </row>
    <row r="776">
      <c r="A776" s="57"/>
    </row>
    <row r="777">
      <c r="A777" s="57"/>
    </row>
    <row r="778">
      <c r="A778" s="57"/>
    </row>
    <row r="779">
      <c r="A779" s="57"/>
    </row>
    <row r="780">
      <c r="A780" s="57"/>
    </row>
    <row r="781">
      <c r="A781" s="57"/>
    </row>
    <row r="782">
      <c r="A782" s="57"/>
    </row>
    <row r="783">
      <c r="A783" s="57"/>
    </row>
    <row r="784">
      <c r="A784" s="57"/>
    </row>
    <row r="785">
      <c r="A785" s="57"/>
    </row>
    <row r="786">
      <c r="A786" s="57"/>
    </row>
    <row r="787">
      <c r="A787" s="57"/>
    </row>
    <row r="788">
      <c r="A788" s="57"/>
    </row>
    <row r="789">
      <c r="A789" s="57"/>
    </row>
    <row r="790">
      <c r="A790" s="57"/>
    </row>
    <row r="791">
      <c r="A791" s="57"/>
    </row>
    <row r="792">
      <c r="A792" s="57"/>
    </row>
    <row r="793">
      <c r="A793" s="57"/>
    </row>
    <row r="794">
      <c r="A794" s="57"/>
    </row>
    <row r="795">
      <c r="A795" s="57"/>
    </row>
    <row r="796">
      <c r="A796" s="57"/>
    </row>
    <row r="797">
      <c r="A797" s="57"/>
    </row>
    <row r="798">
      <c r="A798" s="57"/>
    </row>
    <row r="799">
      <c r="A799" s="57"/>
    </row>
    <row r="800">
      <c r="A800" s="57"/>
    </row>
    <row r="801">
      <c r="A801" s="57"/>
    </row>
    <row r="802">
      <c r="A802" s="57"/>
    </row>
    <row r="803">
      <c r="A803" s="57"/>
    </row>
    <row r="804">
      <c r="A804" s="57"/>
    </row>
    <row r="805">
      <c r="A805" s="57"/>
    </row>
    <row r="806">
      <c r="A806" s="57"/>
    </row>
    <row r="807">
      <c r="A807" s="57"/>
    </row>
    <row r="808">
      <c r="A808" s="57"/>
    </row>
    <row r="809">
      <c r="A809" s="57"/>
    </row>
    <row r="810">
      <c r="A810" s="57"/>
    </row>
    <row r="811">
      <c r="A811" s="57"/>
    </row>
    <row r="812">
      <c r="A812" s="57"/>
    </row>
    <row r="813">
      <c r="A813" s="57"/>
    </row>
    <row r="814">
      <c r="A814" s="57"/>
    </row>
    <row r="815">
      <c r="A815" s="57"/>
    </row>
    <row r="816">
      <c r="A816" s="57"/>
    </row>
    <row r="817">
      <c r="A817" s="57"/>
    </row>
    <row r="818">
      <c r="A818" s="57"/>
    </row>
    <row r="819">
      <c r="A819" s="57"/>
    </row>
    <row r="820">
      <c r="A820" s="57"/>
    </row>
    <row r="821">
      <c r="A821" s="57"/>
    </row>
    <row r="822">
      <c r="A822" s="57"/>
    </row>
    <row r="823">
      <c r="A823" s="57"/>
    </row>
    <row r="824">
      <c r="A824" s="57"/>
    </row>
    <row r="825">
      <c r="A825" s="57"/>
    </row>
    <row r="826">
      <c r="A826" s="57"/>
    </row>
    <row r="827">
      <c r="A827" s="57"/>
    </row>
    <row r="828">
      <c r="A828" s="57"/>
    </row>
    <row r="829">
      <c r="A829" s="57"/>
    </row>
    <row r="830">
      <c r="A830" s="57"/>
    </row>
    <row r="831">
      <c r="A831" s="57"/>
    </row>
    <row r="832">
      <c r="A832" s="57"/>
    </row>
    <row r="833">
      <c r="A833" s="57"/>
    </row>
    <row r="834">
      <c r="A834" s="57"/>
    </row>
    <row r="835">
      <c r="A835" s="57"/>
    </row>
    <row r="836">
      <c r="A836" s="57"/>
    </row>
    <row r="837">
      <c r="A837" s="57"/>
    </row>
    <row r="838">
      <c r="A838" s="57"/>
    </row>
    <row r="839">
      <c r="A839" s="57"/>
    </row>
    <row r="840">
      <c r="A840" s="57"/>
    </row>
    <row r="841">
      <c r="A841" s="57"/>
    </row>
    <row r="842">
      <c r="A842" s="57"/>
    </row>
    <row r="843">
      <c r="A843" s="57"/>
    </row>
    <row r="844">
      <c r="A844" s="57"/>
    </row>
    <row r="845">
      <c r="A845" s="57"/>
    </row>
    <row r="846">
      <c r="A846" s="57"/>
    </row>
    <row r="847">
      <c r="A847" s="57"/>
    </row>
    <row r="848">
      <c r="A848" s="57"/>
    </row>
    <row r="849">
      <c r="A849" s="57"/>
    </row>
    <row r="850">
      <c r="A850" s="57"/>
    </row>
    <row r="851">
      <c r="A851" s="57"/>
    </row>
    <row r="852">
      <c r="A852" s="57"/>
    </row>
    <row r="853">
      <c r="A853" s="57"/>
    </row>
    <row r="854">
      <c r="A854" s="57"/>
    </row>
    <row r="855">
      <c r="A855" s="57"/>
    </row>
    <row r="856">
      <c r="A856" s="57"/>
    </row>
    <row r="857">
      <c r="A857" s="57"/>
    </row>
    <row r="858">
      <c r="A858" s="57"/>
    </row>
    <row r="859">
      <c r="A859" s="57"/>
    </row>
    <row r="860">
      <c r="A860" s="57"/>
    </row>
    <row r="861">
      <c r="A861" s="57"/>
    </row>
    <row r="862">
      <c r="A862" s="57"/>
    </row>
    <row r="863">
      <c r="A863" s="57"/>
    </row>
    <row r="864">
      <c r="A864" s="57"/>
    </row>
    <row r="865">
      <c r="A865" s="57"/>
    </row>
    <row r="866">
      <c r="A866" s="57"/>
    </row>
    <row r="867">
      <c r="A867" s="57"/>
    </row>
    <row r="868">
      <c r="A868" s="57"/>
    </row>
    <row r="869">
      <c r="A869" s="57"/>
    </row>
    <row r="870">
      <c r="A870" s="57"/>
    </row>
    <row r="871">
      <c r="A871" s="57"/>
    </row>
    <row r="872">
      <c r="A872" s="57"/>
    </row>
    <row r="873">
      <c r="A873" s="57"/>
    </row>
    <row r="874">
      <c r="A874" s="57"/>
    </row>
    <row r="875">
      <c r="A875" s="57"/>
    </row>
    <row r="876">
      <c r="A876" s="57"/>
    </row>
    <row r="877">
      <c r="A877" s="57"/>
    </row>
    <row r="878">
      <c r="A878" s="57"/>
    </row>
    <row r="879">
      <c r="A879" s="57"/>
    </row>
    <row r="880">
      <c r="A880" s="57"/>
    </row>
    <row r="881">
      <c r="A881" s="57"/>
    </row>
    <row r="882">
      <c r="A882" s="57"/>
    </row>
    <row r="883">
      <c r="A883" s="57"/>
    </row>
    <row r="884">
      <c r="A884" s="57"/>
    </row>
    <row r="885">
      <c r="A885" s="57"/>
    </row>
    <row r="886">
      <c r="A886" s="57"/>
    </row>
    <row r="887">
      <c r="A887" s="57"/>
    </row>
    <row r="888">
      <c r="A888" s="57"/>
    </row>
    <row r="889">
      <c r="A889" s="57"/>
    </row>
    <row r="890">
      <c r="A890" s="57"/>
    </row>
    <row r="891">
      <c r="A891" s="57"/>
    </row>
    <row r="892">
      <c r="A892" s="57"/>
    </row>
    <row r="893">
      <c r="A893" s="57"/>
    </row>
    <row r="894">
      <c r="A894" s="57"/>
    </row>
    <row r="895">
      <c r="A895" s="57"/>
    </row>
    <row r="896">
      <c r="A896" s="57"/>
    </row>
    <row r="897">
      <c r="A897" s="57"/>
    </row>
    <row r="898">
      <c r="A898" s="57"/>
    </row>
    <row r="899">
      <c r="A899" s="57"/>
    </row>
    <row r="900">
      <c r="A900" s="57"/>
    </row>
    <row r="901">
      <c r="A901" s="57"/>
    </row>
    <row r="902">
      <c r="A902" s="57"/>
    </row>
    <row r="903">
      <c r="A903" s="57"/>
    </row>
    <row r="904">
      <c r="A904" s="57"/>
    </row>
    <row r="905">
      <c r="A905" s="57"/>
    </row>
    <row r="906">
      <c r="A906" s="57"/>
    </row>
    <row r="907">
      <c r="A907" s="57"/>
    </row>
    <row r="908">
      <c r="A908" s="57"/>
    </row>
    <row r="909">
      <c r="A909" s="57"/>
    </row>
    <row r="910">
      <c r="A910" s="57"/>
    </row>
    <row r="911">
      <c r="A911" s="57"/>
    </row>
    <row r="912">
      <c r="A912" s="57"/>
    </row>
    <row r="913">
      <c r="A913" s="57"/>
    </row>
    <row r="914">
      <c r="A914" s="57"/>
    </row>
    <row r="915">
      <c r="A915" s="57"/>
    </row>
    <row r="916">
      <c r="A916" s="57"/>
    </row>
    <row r="917">
      <c r="A917" s="57"/>
    </row>
    <row r="918">
      <c r="A918" s="57"/>
    </row>
    <row r="919">
      <c r="A919" s="57"/>
    </row>
    <row r="920">
      <c r="A920" s="57"/>
    </row>
    <row r="921">
      <c r="A921" s="57"/>
    </row>
    <row r="922">
      <c r="A922" s="57"/>
    </row>
    <row r="923">
      <c r="A923" s="57"/>
    </row>
    <row r="924">
      <c r="A924" s="57"/>
    </row>
    <row r="925">
      <c r="A925" s="57"/>
    </row>
    <row r="926">
      <c r="A926" s="57"/>
    </row>
    <row r="927">
      <c r="A927" s="57"/>
    </row>
    <row r="928">
      <c r="A928" s="57"/>
    </row>
    <row r="929">
      <c r="A929" s="57"/>
    </row>
    <row r="930">
      <c r="A930" s="57"/>
    </row>
    <row r="931">
      <c r="A931" s="57"/>
    </row>
    <row r="932">
      <c r="A932" s="57"/>
    </row>
    <row r="933">
      <c r="A933" s="57"/>
    </row>
    <row r="934">
      <c r="A934" s="57"/>
    </row>
    <row r="935">
      <c r="A935" s="57"/>
    </row>
    <row r="936">
      <c r="A936" s="57"/>
    </row>
    <row r="937">
      <c r="A937" s="57"/>
    </row>
    <row r="938">
      <c r="A938" s="57"/>
    </row>
    <row r="939">
      <c r="A939" s="57"/>
    </row>
    <row r="940">
      <c r="A940" s="57"/>
    </row>
    <row r="941">
      <c r="A941" s="57"/>
    </row>
    <row r="942">
      <c r="A942" s="57"/>
    </row>
    <row r="943">
      <c r="A943" s="57"/>
    </row>
    <row r="944">
      <c r="A944" s="57"/>
    </row>
    <row r="945">
      <c r="A945" s="57"/>
    </row>
    <row r="946">
      <c r="A946" s="57"/>
    </row>
    <row r="947">
      <c r="A947" s="57"/>
    </row>
    <row r="948">
      <c r="A948" s="57"/>
    </row>
    <row r="949">
      <c r="A949" s="57"/>
    </row>
    <row r="950">
      <c r="A950" s="57"/>
    </row>
    <row r="951">
      <c r="A951" s="57"/>
    </row>
    <row r="952">
      <c r="A952" s="57"/>
    </row>
    <row r="953">
      <c r="A953" s="57"/>
    </row>
    <row r="954">
      <c r="A954" s="57"/>
    </row>
    <row r="955">
      <c r="A955" s="57"/>
    </row>
    <row r="956">
      <c r="A956" s="57"/>
    </row>
    <row r="957">
      <c r="A957" s="57"/>
    </row>
    <row r="958">
      <c r="A958" s="57"/>
    </row>
    <row r="959">
      <c r="A959" s="57"/>
    </row>
    <row r="960">
      <c r="A960" s="57"/>
    </row>
    <row r="961">
      <c r="A961" s="57"/>
    </row>
    <row r="962">
      <c r="A962" s="57"/>
    </row>
    <row r="963">
      <c r="A963" s="57"/>
    </row>
    <row r="964">
      <c r="A964" s="57"/>
    </row>
    <row r="965">
      <c r="A965" s="57"/>
    </row>
    <row r="966">
      <c r="A966" s="57"/>
    </row>
    <row r="967">
      <c r="A967" s="57"/>
    </row>
    <row r="968">
      <c r="A968" s="57"/>
    </row>
    <row r="969">
      <c r="A969" s="57"/>
    </row>
    <row r="970">
      <c r="A970" s="57"/>
    </row>
    <row r="971">
      <c r="A971" s="57"/>
    </row>
    <row r="972">
      <c r="A972" s="57"/>
    </row>
    <row r="973">
      <c r="A973" s="57"/>
    </row>
    <row r="974">
      <c r="A974" s="57"/>
    </row>
    <row r="975">
      <c r="A975" s="57"/>
    </row>
    <row r="976">
      <c r="A976" s="57"/>
    </row>
    <row r="977">
      <c r="A977" s="57"/>
    </row>
    <row r="978">
      <c r="A978" s="57"/>
    </row>
    <row r="979">
      <c r="A979" s="57"/>
    </row>
    <row r="980">
      <c r="A980" s="57"/>
    </row>
    <row r="981">
      <c r="A981" s="57"/>
    </row>
    <row r="982">
      <c r="A982" s="57"/>
    </row>
    <row r="983">
      <c r="A983" s="57"/>
    </row>
    <row r="984">
      <c r="A984" s="57"/>
    </row>
    <row r="985">
      <c r="A985" s="57"/>
    </row>
    <row r="986">
      <c r="A986" s="57"/>
    </row>
    <row r="987">
      <c r="A987" s="57"/>
    </row>
    <row r="988">
      <c r="A988" s="57"/>
    </row>
    <row r="989">
      <c r="A989" s="57"/>
    </row>
    <row r="990">
      <c r="A990" s="57"/>
    </row>
    <row r="991">
      <c r="A991" s="57"/>
    </row>
    <row r="992">
      <c r="A992" s="57"/>
    </row>
    <row r="993">
      <c r="A993" s="57"/>
    </row>
    <row r="994">
      <c r="A994" s="57"/>
    </row>
    <row r="995">
      <c r="A995" s="57"/>
    </row>
    <row r="996">
      <c r="A996" s="57"/>
    </row>
    <row r="997">
      <c r="A997" s="57"/>
    </row>
    <row r="998">
      <c r="A998" s="57"/>
    </row>
    <row r="999">
      <c r="A999" s="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6" max="6" width="23.75"/>
    <col customWidth="1" min="7" max="7" width="16.25"/>
  </cols>
  <sheetData>
    <row r="1">
      <c r="A1" s="54" t="s">
        <v>352</v>
      </c>
      <c r="B1" s="47">
        <v>7000.0</v>
      </c>
      <c r="C1" s="52"/>
      <c r="D1" s="52"/>
      <c r="E1" s="52"/>
      <c r="F1" s="58" t="s">
        <v>353</v>
      </c>
      <c r="G1" s="58" t="s">
        <v>354</v>
      </c>
    </row>
    <row r="2">
      <c r="A2" s="54" t="s">
        <v>355</v>
      </c>
      <c r="B2" s="47">
        <f>Subscriptions!B28</f>
        <v>830.8666667</v>
      </c>
      <c r="C2" s="52"/>
      <c r="D2" s="52"/>
      <c r="E2" s="54"/>
      <c r="F2" s="59" t="s">
        <v>356</v>
      </c>
      <c r="G2" s="60">
        <v>7000.0</v>
      </c>
    </row>
    <row r="3">
      <c r="A3" s="54" t="s">
        <v>357</v>
      </c>
      <c r="B3" s="47">
        <v>1000.0</v>
      </c>
      <c r="C3" s="52"/>
      <c r="D3" s="52"/>
      <c r="E3" s="54"/>
      <c r="F3" s="59" t="s">
        <v>358</v>
      </c>
      <c r="G3" s="60">
        <v>5326.0</v>
      </c>
    </row>
    <row r="4">
      <c r="A4" s="54" t="s">
        <v>25</v>
      </c>
      <c r="B4" s="47">
        <v>2500.0</v>
      </c>
      <c r="C4" s="52"/>
      <c r="D4" s="52"/>
      <c r="E4" s="54"/>
      <c r="F4" s="1" t="s">
        <v>359</v>
      </c>
      <c r="G4" s="60">
        <f>G2-G3</f>
        <v>1674</v>
      </c>
    </row>
    <row r="5">
      <c r="A5" s="54" t="s">
        <v>360</v>
      </c>
      <c r="B5" s="47">
        <v>500.0</v>
      </c>
      <c r="C5" s="52"/>
      <c r="D5" s="52"/>
      <c r="E5" s="52"/>
      <c r="F5" s="1" t="s">
        <v>361</v>
      </c>
      <c r="G5" s="61">
        <v>0.31</v>
      </c>
    </row>
    <row r="6">
      <c r="A6" s="54" t="s">
        <v>362</v>
      </c>
      <c r="B6" s="47">
        <v>500.0</v>
      </c>
      <c r="C6" s="52"/>
      <c r="D6" s="52"/>
      <c r="E6" s="52"/>
      <c r="F6" s="1" t="s">
        <v>363</v>
      </c>
      <c r="G6" s="61">
        <v>0.41</v>
      </c>
    </row>
    <row r="7">
      <c r="A7" s="54" t="s">
        <v>364</v>
      </c>
      <c r="B7" s="48">
        <f>SUM(B2:B6)</f>
        <v>5330.866667</v>
      </c>
      <c r="C7" s="52"/>
      <c r="D7" s="52"/>
      <c r="E7" s="52"/>
    </row>
    <row r="8">
      <c r="A8" s="45" t="s">
        <v>359</v>
      </c>
      <c r="B8" s="56">
        <f>B1-B7</f>
        <v>1669.133333</v>
      </c>
      <c r="C8" s="52"/>
      <c r="D8" s="52"/>
      <c r="E8" s="52"/>
      <c r="F8" s="52"/>
      <c r="G8" s="52"/>
    </row>
    <row r="9">
      <c r="A9" s="54"/>
      <c r="B9" s="48"/>
      <c r="C9" s="52"/>
      <c r="D9" s="52"/>
      <c r="E9" s="52"/>
      <c r="F9" s="52"/>
      <c r="G9" s="52"/>
    </row>
    <row r="10">
      <c r="A10" s="52"/>
      <c r="B10" s="48"/>
      <c r="C10" s="52"/>
      <c r="D10" s="52"/>
      <c r="E10" s="52"/>
      <c r="F10" s="52"/>
      <c r="G10" s="52"/>
    </row>
    <row r="11">
      <c r="A11" s="54"/>
      <c r="B11" s="62"/>
      <c r="C11" s="52"/>
      <c r="D11" s="52"/>
      <c r="E11" s="52"/>
      <c r="F11" s="52"/>
      <c r="G11" s="52"/>
    </row>
    <row r="12">
      <c r="A12" s="54"/>
      <c r="B12" s="62"/>
      <c r="C12" s="52"/>
      <c r="D12" s="52"/>
      <c r="E12" s="52"/>
      <c r="F12" s="52"/>
      <c r="G12" s="52"/>
    </row>
    <row r="13">
      <c r="A13" s="54"/>
      <c r="B13" s="52"/>
      <c r="C13" s="52"/>
      <c r="D13" s="52"/>
      <c r="E13" s="52"/>
      <c r="F13" s="52"/>
      <c r="G13" s="52"/>
    </row>
    <row r="14">
      <c r="A14" s="54"/>
      <c r="B14" s="52"/>
      <c r="C14" s="52"/>
      <c r="D14" s="52"/>
      <c r="E14" s="52"/>
      <c r="F14" s="52"/>
      <c r="G14" s="52"/>
    </row>
    <row r="15">
      <c r="A15" s="54"/>
      <c r="B15" s="52"/>
      <c r="C15" s="52"/>
      <c r="D15" s="52"/>
      <c r="E15" s="52"/>
      <c r="F15" s="52"/>
      <c r="G15" s="52"/>
    </row>
    <row r="16">
      <c r="A16" s="54"/>
      <c r="B16" s="52"/>
      <c r="C16" s="52"/>
      <c r="D16" s="52"/>
      <c r="E16" s="52"/>
      <c r="F16" s="52"/>
      <c r="G16" s="52"/>
    </row>
    <row r="17">
      <c r="A17" s="54"/>
      <c r="B17" s="52"/>
      <c r="C17" s="52"/>
      <c r="D17" s="52"/>
      <c r="E17" s="52"/>
      <c r="F17" s="52"/>
      <c r="G17" s="52"/>
    </row>
    <row r="18">
      <c r="A18" s="52"/>
      <c r="B18" s="52"/>
      <c r="C18" s="52"/>
      <c r="D18" s="52"/>
      <c r="E18" s="52"/>
      <c r="F18" s="52"/>
      <c r="G18" s="52"/>
    </row>
    <row r="19">
      <c r="A19" s="54"/>
      <c r="B19" s="52"/>
      <c r="C19" s="52"/>
      <c r="D19" s="52"/>
      <c r="E19" s="52"/>
      <c r="F19" s="52"/>
      <c r="G19" s="5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8.75"/>
    <col customWidth="1" min="3" max="3" width="17.88"/>
    <col customWidth="1" min="4" max="4" width="16.63"/>
    <col customWidth="1" min="5" max="5" width="15.75"/>
  </cols>
  <sheetData>
    <row r="1" ht="22.5" customHeight="1">
      <c r="A1" s="63" t="s">
        <v>365</v>
      </c>
      <c r="B1" s="63" t="s">
        <v>366</v>
      </c>
      <c r="C1" s="63" t="s">
        <v>367</v>
      </c>
      <c r="D1" s="63" t="s">
        <v>368</v>
      </c>
      <c r="E1" s="63" t="s">
        <v>369</v>
      </c>
      <c r="F1" s="64"/>
    </row>
    <row r="2" ht="22.5" customHeight="1">
      <c r="A2" s="65" t="s">
        <v>370</v>
      </c>
      <c r="B2" s="66">
        <v>40.0</v>
      </c>
      <c r="C2" s="67">
        <f t="shared" ref="C2:C3" si="1">B2*12</f>
        <v>480</v>
      </c>
      <c r="D2" s="68" t="s">
        <v>371</v>
      </c>
      <c r="E2" s="65" t="s">
        <v>372</v>
      </c>
      <c r="F2" s="69"/>
    </row>
    <row r="3" ht="22.5" customHeight="1">
      <c r="A3" s="65" t="s">
        <v>373</v>
      </c>
      <c r="B3" s="66">
        <v>100.0</v>
      </c>
      <c r="C3" s="67">
        <f t="shared" si="1"/>
        <v>1200</v>
      </c>
      <c r="D3" s="68" t="s">
        <v>371</v>
      </c>
      <c r="E3" s="65" t="s">
        <v>372</v>
      </c>
      <c r="F3" s="69"/>
    </row>
    <row r="4" ht="22.5" customHeight="1">
      <c r="A4" s="65" t="s">
        <v>374</v>
      </c>
      <c r="B4" s="66"/>
      <c r="C4" s="67"/>
      <c r="D4" s="68" t="s">
        <v>371</v>
      </c>
      <c r="E4" s="65" t="s">
        <v>375</v>
      </c>
      <c r="F4" s="69"/>
    </row>
    <row r="5" ht="22.5" customHeight="1">
      <c r="A5" s="65" t="s">
        <v>376</v>
      </c>
      <c r="B5" s="67">
        <f t="shared" ref="B5:B6" si="2">C5/12</f>
        <v>8.3325</v>
      </c>
      <c r="C5" s="66">
        <v>99.99</v>
      </c>
      <c r="D5" s="68" t="s">
        <v>371</v>
      </c>
      <c r="E5" s="70">
        <v>46244.0</v>
      </c>
      <c r="F5" s="69"/>
    </row>
    <row r="6" ht="22.5" customHeight="1">
      <c r="A6" s="65" t="s">
        <v>377</v>
      </c>
      <c r="B6" s="67">
        <f t="shared" si="2"/>
        <v>8.3325</v>
      </c>
      <c r="C6" s="66">
        <v>99.99</v>
      </c>
      <c r="D6" s="68" t="s">
        <v>371</v>
      </c>
      <c r="E6" s="70">
        <v>46254.0</v>
      </c>
      <c r="F6" s="69"/>
    </row>
    <row r="7" ht="22.5" customHeight="1">
      <c r="A7" s="65" t="s">
        <v>378</v>
      </c>
      <c r="B7" s="66">
        <v>18.99</v>
      </c>
      <c r="C7" s="67">
        <f>B7*12</f>
        <v>227.88</v>
      </c>
      <c r="D7" s="68" t="s">
        <v>379</v>
      </c>
      <c r="E7" s="65" t="s">
        <v>372</v>
      </c>
      <c r="F7" s="69"/>
    </row>
    <row r="8" ht="22.5" customHeight="1">
      <c r="A8" s="65" t="s">
        <v>380</v>
      </c>
      <c r="B8" s="67">
        <f>C8/12</f>
        <v>7.916666667</v>
      </c>
      <c r="C8" s="66">
        <v>95.0</v>
      </c>
      <c r="D8" s="68" t="s">
        <v>379</v>
      </c>
      <c r="E8" s="70">
        <v>46269.0</v>
      </c>
      <c r="F8" s="69"/>
    </row>
    <row r="9" ht="22.5" customHeight="1">
      <c r="A9" s="65" t="s">
        <v>381</v>
      </c>
      <c r="B9" s="66">
        <v>8.99</v>
      </c>
      <c r="C9" s="67">
        <f t="shared" ref="C9:C13" si="3">B9*12</f>
        <v>107.88</v>
      </c>
      <c r="D9" s="68" t="s">
        <v>379</v>
      </c>
      <c r="E9" s="65" t="s">
        <v>372</v>
      </c>
      <c r="F9" s="69"/>
    </row>
    <row r="10" ht="22.5" customHeight="1">
      <c r="A10" s="65" t="s">
        <v>382</v>
      </c>
      <c r="B10" s="66">
        <v>14.0</v>
      </c>
      <c r="C10" s="67">
        <f t="shared" si="3"/>
        <v>168</v>
      </c>
      <c r="D10" s="68" t="s">
        <v>383</v>
      </c>
      <c r="E10" s="65" t="s">
        <v>372</v>
      </c>
      <c r="F10" s="69"/>
    </row>
    <row r="11" ht="22.5" customHeight="1">
      <c r="A11" s="65" t="s">
        <v>384</v>
      </c>
      <c r="B11" s="66">
        <v>30.0</v>
      </c>
      <c r="C11" s="67">
        <f t="shared" si="3"/>
        <v>360</v>
      </c>
      <c r="D11" s="68" t="s">
        <v>385</v>
      </c>
      <c r="E11" s="65" t="s">
        <v>372</v>
      </c>
      <c r="F11" s="69"/>
    </row>
    <row r="12" ht="22.5" customHeight="1">
      <c r="A12" s="65" t="s">
        <v>386</v>
      </c>
      <c r="B12" s="66">
        <v>17.99</v>
      </c>
      <c r="C12" s="67">
        <f t="shared" si="3"/>
        <v>215.88</v>
      </c>
      <c r="D12" s="68" t="s">
        <v>379</v>
      </c>
      <c r="E12" s="65" t="s">
        <v>372</v>
      </c>
      <c r="F12" s="69"/>
    </row>
    <row r="13" ht="22.5" customHeight="1">
      <c r="A13" s="65" t="s">
        <v>387</v>
      </c>
      <c r="B13" s="66">
        <v>29.79</v>
      </c>
      <c r="C13" s="67">
        <f t="shared" si="3"/>
        <v>357.48</v>
      </c>
      <c r="D13" s="68" t="s">
        <v>371</v>
      </c>
      <c r="E13" s="65" t="s">
        <v>372</v>
      </c>
      <c r="F13" s="69"/>
    </row>
    <row r="14" ht="22.5" customHeight="1">
      <c r="A14" s="65" t="s">
        <v>388</v>
      </c>
      <c r="B14" s="66">
        <f>C14/12</f>
        <v>5</v>
      </c>
      <c r="C14" s="66">
        <v>60.0</v>
      </c>
      <c r="D14" s="68" t="s">
        <v>383</v>
      </c>
      <c r="E14" s="71">
        <v>46023.0</v>
      </c>
      <c r="F14" s="69"/>
    </row>
    <row r="15" ht="22.5" customHeight="1">
      <c r="A15" s="65" t="s">
        <v>389</v>
      </c>
      <c r="B15" s="66">
        <v>20.0</v>
      </c>
      <c r="C15" s="67">
        <f t="shared" ref="C15:C16" si="4">B15*12</f>
        <v>240</v>
      </c>
      <c r="D15" s="68" t="s">
        <v>383</v>
      </c>
      <c r="E15" s="65" t="s">
        <v>372</v>
      </c>
      <c r="F15" s="69"/>
    </row>
    <row r="16" ht="22.5" customHeight="1">
      <c r="A16" s="65" t="s">
        <v>390</v>
      </c>
      <c r="B16" s="66">
        <v>75.0</v>
      </c>
      <c r="C16" s="67">
        <f t="shared" si="4"/>
        <v>900</v>
      </c>
      <c r="D16" s="68" t="s">
        <v>383</v>
      </c>
      <c r="E16" s="65" t="s">
        <v>372</v>
      </c>
      <c r="F16" s="69"/>
    </row>
    <row r="17" ht="22.5" customHeight="1">
      <c r="A17" s="65" t="s">
        <v>391</v>
      </c>
      <c r="B17" s="67">
        <f t="shared" ref="B17:B19" si="5">C17/12</f>
        <v>9.999166667</v>
      </c>
      <c r="C17" s="66">
        <v>119.99</v>
      </c>
      <c r="D17" s="68" t="s">
        <v>383</v>
      </c>
      <c r="E17" s="70">
        <v>46244.0</v>
      </c>
      <c r="F17" s="69"/>
    </row>
    <row r="18" ht="22.5" customHeight="1">
      <c r="A18" s="65" t="s">
        <v>392</v>
      </c>
      <c r="B18" s="67">
        <f t="shared" si="5"/>
        <v>4.5825</v>
      </c>
      <c r="C18" s="66">
        <v>54.99</v>
      </c>
      <c r="D18" s="68" t="s">
        <v>371</v>
      </c>
      <c r="E18" s="70">
        <v>46146.0</v>
      </c>
      <c r="F18" s="69"/>
    </row>
    <row r="19" ht="22.5" customHeight="1">
      <c r="A19" s="65" t="s">
        <v>393</v>
      </c>
      <c r="B19" s="67">
        <f t="shared" si="5"/>
        <v>9.25</v>
      </c>
      <c r="C19" s="66">
        <v>111.0</v>
      </c>
      <c r="D19" s="68" t="s">
        <v>371</v>
      </c>
      <c r="E19" s="70">
        <v>46052.0</v>
      </c>
      <c r="F19" s="69"/>
    </row>
    <row r="20" ht="22.5" customHeight="1">
      <c r="A20" s="65" t="s">
        <v>394</v>
      </c>
      <c r="B20" s="66">
        <v>8.99</v>
      </c>
      <c r="C20" s="67">
        <f t="shared" ref="C20:C21" si="6">B20*12</f>
        <v>107.88</v>
      </c>
      <c r="D20" s="68" t="s">
        <v>385</v>
      </c>
      <c r="E20" s="65" t="s">
        <v>372</v>
      </c>
      <c r="F20" s="69"/>
    </row>
    <row r="21" ht="22.5" customHeight="1">
      <c r="A21" s="65" t="s">
        <v>395</v>
      </c>
      <c r="B21" s="66">
        <v>18.99</v>
      </c>
      <c r="C21" s="67">
        <f t="shared" si="6"/>
        <v>227.88</v>
      </c>
      <c r="D21" s="68" t="s">
        <v>385</v>
      </c>
      <c r="E21" s="65" t="s">
        <v>372</v>
      </c>
      <c r="F21" s="69"/>
    </row>
    <row r="22" ht="22.5" customHeight="1">
      <c r="A22" s="65" t="s">
        <v>396</v>
      </c>
      <c r="B22" s="66">
        <f t="shared" ref="B22:B25" si="7">C22/12</f>
        <v>33.33333333</v>
      </c>
      <c r="C22" s="66">
        <v>400.0</v>
      </c>
      <c r="D22" s="68" t="s">
        <v>397</v>
      </c>
      <c r="E22" s="72">
        <v>46202.0</v>
      </c>
      <c r="F22" s="69"/>
    </row>
    <row r="23" ht="22.5" customHeight="1">
      <c r="A23" s="65" t="s">
        <v>398</v>
      </c>
      <c r="B23" s="66">
        <f t="shared" si="7"/>
        <v>16.66666667</v>
      </c>
      <c r="C23" s="66">
        <v>200.0</v>
      </c>
      <c r="D23" s="68" t="s">
        <v>397</v>
      </c>
      <c r="E23" s="71">
        <v>46327.0</v>
      </c>
      <c r="F23" s="69"/>
    </row>
    <row r="24" ht="22.5" customHeight="1">
      <c r="A24" s="65" t="s">
        <v>399</v>
      </c>
      <c r="B24" s="66">
        <f t="shared" si="7"/>
        <v>41.66666667</v>
      </c>
      <c r="C24" s="66">
        <v>500.0</v>
      </c>
      <c r="D24" s="68" t="s">
        <v>397</v>
      </c>
      <c r="E24" s="72">
        <v>46374.0</v>
      </c>
      <c r="F24" s="69"/>
    </row>
    <row r="25" ht="22.5" customHeight="1">
      <c r="A25" s="65" t="s">
        <v>400</v>
      </c>
      <c r="B25" s="66">
        <f t="shared" si="7"/>
        <v>14.16666667</v>
      </c>
      <c r="C25" s="66">
        <v>170.0</v>
      </c>
      <c r="D25" s="68" t="s">
        <v>385</v>
      </c>
      <c r="E25" s="72">
        <v>46387.0</v>
      </c>
      <c r="F25" s="69"/>
    </row>
    <row r="26" ht="22.5" customHeight="1">
      <c r="A26" s="65" t="s">
        <v>401</v>
      </c>
      <c r="B26" s="66">
        <v>270.0</v>
      </c>
      <c r="C26" s="66">
        <f t="shared" ref="C26:C27" si="8">B26*12</f>
        <v>3240</v>
      </c>
      <c r="D26" s="68" t="s">
        <v>383</v>
      </c>
      <c r="E26" s="65" t="s">
        <v>372</v>
      </c>
      <c r="F26" s="69"/>
    </row>
    <row r="27" ht="22.5" customHeight="1">
      <c r="A27" s="65" t="s">
        <v>402</v>
      </c>
      <c r="B27" s="66">
        <v>18.88</v>
      </c>
      <c r="C27" s="66">
        <f t="shared" si="8"/>
        <v>226.56</v>
      </c>
      <c r="D27" s="68" t="s">
        <v>385</v>
      </c>
      <c r="E27" s="65" t="s">
        <v>372</v>
      </c>
      <c r="F27" s="69"/>
    </row>
    <row r="28" ht="22.5" customHeight="1">
      <c r="A28" s="63" t="s">
        <v>351</v>
      </c>
      <c r="B28" s="73">
        <f>SUM(B2:B27)</f>
        <v>830.8666667</v>
      </c>
      <c r="C28" s="73">
        <f>SUM(C2:C21)</f>
        <v>5233.84</v>
      </c>
      <c r="D28" s="74"/>
      <c r="E28" s="75"/>
      <c r="F28" s="69"/>
    </row>
    <row r="29">
      <c r="A29" s="69"/>
      <c r="B29" s="76"/>
      <c r="C29" s="76"/>
      <c r="D29" s="69"/>
      <c r="E29" s="77"/>
      <c r="F29" s="69"/>
    </row>
    <row r="30">
      <c r="A30" s="69"/>
      <c r="B30" s="69"/>
      <c r="C30" s="69"/>
      <c r="D30" s="69"/>
      <c r="E30" s="69"/>
      <c r="F30" s="69"/>
    </row>
    <row r="31">
      <c r="A31" s="69"/>
      <c r="B31" s="69"/>
      <c r="C31" s="69"/>
      <c r="D31" s="69"/>
      <c r="E31" s="69"/>
      <c r="F31" s="69"/>
    </row>
    <row r="32">
      <c r="A32" s="69"/>
      <c r="B32" s="69"/>
      <c r="C32" s="69"/>
      <c r="D32" s="69"/>
      <c r="E32" s="69"/>
      <c r="F32" s="69"/>
    </row>
    <row r="33">
      <c r="A33" s="69"/>
      <c r="B33" s="69"/>
      <c r="C33" s="69"/>
      <c r="D33" s="69"/>
      <c r="E33" s="69"/>
      <c r="F33" s="69"/>
    </row>
    <row r="34">
      <c r="A34" s="69"/>
      <c r="B34" s="69"/>
      <c r="C34" s="69"/>
      <c r="D34" s="69"/>
      <c r="E34" s="69"/>
      <c r="F34" s="69"/>
    </row>
    <row r="35">
      <c r="A35" s="69"/>
      <c r="B35" s="69"/>
      <c r="C35" s="69"/>
      <c r="D35" s="69"/>
      <c r="E35" s="69"/>
      <c r="F35" s="69"/>
    </row>
    <row r="36">
      <c r="A36" s="69"/>
      <c r="B36" s="69"/>
      <c r="C36" s="69"/>
      <c r="D36" s="69"/>
      <c r="E36" s="69"/>
      <c r="F36" s="69"/>
    </row>
    <row r="37">
      <c r="A37" s="69"/>
      <c r="B37" s="69"/>
      <c r="C37" s="69"/>
      <c r="D37" s="69"/>
      <c r="E37" s="69"/>
      <c r="F37" s="69"/>
    </row>
    <row r="38">
      <c r="A38" s="69"/>
      <c r="B38" s="69"/>
      <c r="C38" s="69"/>
      <c r="D38" s="69"/>
      <c r="E38" s="69"/>
      <c r="F38" s="69"/>
    </row>
    <row r="39">
      <c r="A39" s="69"/>
      <c r="B39" s="69"/>
      <c r="C39" s="69"/>
      <c r="D39" s="69"/>
      <c r="E39" s="69"/>
      <c r="F39" s="69"/>
    </row>
    <row r="40">
      <c r="A40" s="69"/>
      <c r="B40" s="69"/>
      <c r="C40" s="69"/>
      <c r="D40" s="69"/>
      <c r="E40" s="69"/>
      <c r="F40" s="69"/>
    </row>
    <row r="41">
      <c r="A41" s="69"/>
      <c r="B41" s="69"/>
      <c r="C41" s="69"/>
      <c r="D41" s="69"/>
      <c r="E41" s="69"/>
      <c r="F41" s="69"/>
    </row>
    <row r="42">
      <c r="A42" s="69"/>
      <c r="B42" s="69"/>
      <c r="C42" s="69"/>
      <c r="D42" s="69"/>
      <c r="E42" s="69"/>
      <c r="F42" s="69"/>
    </row>
    <row r="43">
      <c r="A43" s="69"/>
      <c r="B43" s="69"/>
      <c r="C43" s="69"/>
      <c r="D43" s="69"/>
      <c r="E43" s="69"/>
      <c r="F43" s="69"/>
    </row>
  </sheetData>
  <dataValidations>
    <dataValidation type="list" allowBlank="1" showErrorMessage="1" sqref="D2:D28">
      <formula1>"Fitness,Entertainment,Improvement,Miscellaneous,Car"</formula1>
    </dataValidation>
    <dataValidation type="custom" allowBlank="1" showDropDown="1" sqref="B2:C2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0"/>
    <col customWidth="1" min="8" max="8" width="14.25"/>
  </cols>
  <sheetData>
    <row r="1">
      <c r="A1" s="69"/>
      <c r="B1" s="64" t="s">
        <v>403</v>
      </c>
      <c r="C1" s="64" t="s">
        <v>404</v>
      </c>
      <c r="D1" s="69"/>
      <c r="E1" s="69"/>
      <c r="F1" s="69"/>
      <c r="G1" s="64" t="s">
        <v>405</v>
      </c>
      <c r="H1" s="64">
        <v>2031.0</v>
      </c>
      <c r="I1" s="64">
        <v>2036.0</v>
      </c>
      <c r="J1" s="64">
        <v>2041.0</v>
      </c>
      <c r="K1" s="64">
        <v>2046.0</v>
      </c>
      <c r="L1" s="69"/>
    </row>
    <row r="2">
      <c r="A2" s="64" t="s">
        <v>7</v>
      </c>
      <c r="B2" s="78">
        <v>75000.0</v>
      </c>
      <c r="C2" s="78">
        <v>120000.0</v>
      </c>
      <c r="D2" s="69"/>
      <c r="E2" s="69"/>
      <c r="F2" s="69"/>
      <c r="G2" s="69"/>
      <c r="H2" s="64">
        <v>5.0</v>
      </c>
      <c r="I2" s="64">
        <v>10.0</v>
      </c>
      <c r="J2" s="64">
        <v>15.0</v>
      </c>
      <c r="K2" s="64">
        <v>20.0</v>
      </c>
      <c r="L2" s="69"/>
    </row>
    <row r="3">
      <c r="A3" s="64" t="s">
        <v>406</v>
      </c>
      <c r="B3" s="78">
        <v>200000.0</v>
      </c>
      <c r="C3" s="78">
        <v>350000.0</v>
      </c>
      <c r="D3" s="69"/>
      <c r="E3" s="69"/>
      <c r="F3" s="69"/>
      <c r="G3" s="79">
        <v>0.06</v>
      </c>
      <c r="H3" s="80">
        <f t="shared" ref="H3:K3" si="1">$C$5*(1+$A$9)^H2</f>
        <v>816317.6023</v>
      </c>
      <c r="I3" s="80">
        <f t="shared" si="1"/>
        <v>1092417.095</v>
      </c>
      <c r="J3" s="80">
        <f t="shared" si="1"/>
        <v>1461900.498</v>
      </c>
      <c r="K3" s="80">
        <f t="shared" si="1"/>
        <v>1956352.638</v>
      </c>
      <c r="L3" s="69"/>
    </row>
    <row r="4">
      <c r="A4" s="64" t="s">
        <v>10</v>
      </c>
      <c r="B4" s="78">
        <v>110000.0</v>
      </c>
      <c r="C4" s="78">
        <v>140000.0</v>
      </c>
      <c r="D4" s="69"/>
      <c r="E4" s="69"/>
      <c r="F4" s="69"/>
      <c r="G4" s="79">
        <v>0.08</v>
      </c>
      <c r="H4" s="80">
        <f t="shared" ref="H4:K4" si="2">$C$5*(1+$A$10)^H2</f>
        <v>896290.1268</v>
      </c>
      <c r="I4" s="80">
        <f t="shared" si="2"/>
        <v>1316944.248</v>
      </c>
      <c r="J4" s="80">
        <f t="shared" si="2"/>
        <v>1935023.16</v>
      </c>
      <c r="K4" s="80">
        <f t="shared" si="2"/>
        <v>2843183.858</v>
      </c>
      <c r="L4" s="69"/>
    </row>
    <row r="5">
      <c r="A5" s="58" t="s">
        <v>351</v>
      </c>
      <c r="B5" s="78">
        <f t="shared" ref="B5:C5" si="3">SUM(B2:B4)</f>
        <v>385000</v>
      </c>
      <c r="C5" s="78">
        <f t="shared" si="3"/>
        <v>610000</v>
      </c>
      <c r="D5" s="69"/>
      <c r="E5" s="69"/>
      <c r="F5" s="69"/>
      <c r="G5" s="79">
        <v>0.1</v>
      </c>
      <c r="H5" s="80">
        <f t="shared" ref="H5:K5" si="4">$C$5*(1+$A$11)^H2</f>
        <v>982411.1</v>
      </c>
      <c r="I5" s="80">
        <f t="shared" si="4"/>
        <v>1582182.901</v>
      </c>
      <c r="J5" s="80">
        <f t="shared" si="4"/>
        <v>2548121.383</v>
      </c>
      <c r="K5" s="80">
        <f t="shared" si="4"/>
        <v>4103774.969</v>
      </c>
      <c r="L5" s="69"/>
    </row>
    <row r="6">
      <c r="A6" s="69"/>
      <c r="B6" s="64"/>
      <c r="C6" s="64"/>
      <c r="D6" s="64"/>
      <c r="E6" s="64"/>
      <c r="F6" s="69"/>
      <c r="G6" s="69"/>
      <c r="H6" s="69"/>
      <c r="I6" s="69"/>
      <c r="J6" s="69"/>
      <c r="K6" s="69"/>
      <c r="L6" s="69"/>
    </row>
    <row r="7">
      <c r="A7" s="69"/>
      <c r="B7" s="64">
        <v>2031.0</v>
      </c>
      <c r="C7" s="64">
        <v>2036.0</v>
      </c>
      <c r="D7" s="64">
        <v>2041.0</v>
      </c>
      <c r="E7" s="64">
        <v>2046.0</v>
      </c>
      <c r="F7" s="64" t="s">
        <v>407</v>
      </c>
      <c r="G7" s="69"/>
      <c r="H7" s="64"/>
      <c r="I7" s="64"/>
      <c r="J7" s="64"/>
      <c r="K7" s="64"/>
      <c r="L7" s="69"/>
    </row>
    <row r="8">
      <c r="A8" s="69"/>
      <c r="B8" s="64">
        <v>5.0</v>
      </c>
      <c r="C8" s="64">
        <v>10.0</v>
      </c>
      <c r="D8" s="64">
        <v>15.0</v>
      </c>
      <c r="E8" s="64">
        <v>20.0</v>
      </c>
      <c r="F8" s="69"/>
      <c r="G8" s="69"/>
      <c r="H8" s="64"/>
      <c r="I8" s="64"/>
      <c r="J8" s="64"/>
      <c r="K8" s="64"/>
      <c r="L8" s="69"/>
    </row>
    <row r="9">
      <c r="A9" s="79">
        <v>0.06</v>
      </c>
      <c r="B9" s="80">
        <v>789553.0907840001</v>
      </c>
      <c r="C9" s="80">
        <v>1056600.1409602843</v>
      </c>
      <c r="D9" s="80">
        <v>1413969.333928818</v>
      </c>
      <c r="E9" s="80">
        <v>1892209.9286055802</v>
      </c>
      <c r="F9" s="69"/>
      <c r="G9" s="69"/>
      <c r="H9" s="64">
        <v>2031.0</v>
      </c>
      <c r="I9" s="64">
        <v>2036.0</v>
      </c>
      <c r="J9" s="64">
        <v>2041.0</v>
      </c>
      <c r="K9" s="64">
        <v>2046.0</v>
      </c>
      <c r="L9" s="64" t="s">
        <v>408</v>
      </c>
    </row>
    <row r="10">
      <c r="A10" s="79">
        <v>0.08</v>
      </c>
      <c r="B10" s="80">
        <v>866903.5653120003</v>
      </c>
      <c r="C10" s="80">
        <v>1273765.7483909451</v>
      </c>
      <c r="D10" s="80">
        <v>1871579.7773769805</v>
      </c>
      <c r="E10" s="80">
        <v>2749964.714871092</v>
      </c>
      <c r="F10" s="69"/>
      <c r="G10" s="69"/>
      <c r="H10" s="64">
        <v>5.0</v>
      </c>
      <c r="I10" s="64">
        <v>10.0</v>
      </c>
      <c r="J10" s="64">
        <v>15.0</v>
      </c>
      <c r="K10" s="64">
        <v>20.0</v>
      </c>
      <c r="L10" s="64"/>
    </row>
    <row r="11">
      <c r="A11" s="79">
        <v>0.1</v>
      </c>
      <c r="B11" s="80">
        <v>950200.9000000004</v>
      </c>
      <c r="C11" s="80">
        <v>1530308.0514590014</v>
      </c>
      <c r="D11" s="80">
        <v>2464576.4199552373</v>
      </c>
      <c r="E11" s="80">
        <v>3969224.9701021104</v>
      </c>
      <c r="F11" s="69"/>
      <c r="G11" s="79">
        <v>0.06</v>
      </c>
      <c r="H11" s="80">
        <f t="shared" ref="H11:K11" si="5">$C$3*(1+$A$9)^H10</f>
        <v>468378.9522</v>
      </c>
      <c r="I11" s="80">
        <f t="shared" si="5"/>
        <v>626796.6938</v>
      </c>
      <c r="J11" s="80">
        <f t="shared" si="5"/>
        <v>838795.3676</v>
      </c>
      <c r="K11" s="80">
        <f t="shared" si="5"/>
        <v>1122497.415</v>
      </c>
      <c r="L11" s="69"/>
    </row>
    <row r="12">
      <c r="A12" s="69"/>
      <c r="B12" s="69"/>
      <c r="C12" s="69"/>
      <c r="D12" s="69"/>
      <c r="E12" s="69"/>
      <c r="F12" s="69"/>
      <c r="G12" s="79">
        <v>0.08</v>
      </c>
      <c r="H12" s="80">
        <f t="shared" ref="H12:K12" si="6">$C$3*(1+$A$10)^H10</f>
        <v>514264.8269</v>
      </c>
      <c r="I12" s="80">
        <f t="shared" si="6"/>
        <v>755623.749</v>
      </c>
      <c r="J12" s="80">
        <f t="shared" si="6"/>
        <v>1110259.19</v>
      </c>
      <c r="K12" s="80">
        <f t="shared" si="6"/>
        <v>1631335</v>
      </c>
      <c r="L12" s="69"/>
    </row>
    <row r="13">
      <c r="A13" s="69"/>
      <c r="B13" s="64">
        <v>2031.0</v>
      </c>
      <c r="C13" s="64">
        <v>2036.0</v>
      </c>
      <c r="D13" s="64">
        <v>2041.0</v>
      </c>
      <c r="E13" s="64">
        <v>2046.0</v>
      </c>
      <c r="F13" s="64" t="s">
        <v>409</v>
      </c>
      <c r="G13" s="79">
        <v>0.1</v>
      </c>
      <c r="H13" s="80">
        <f t="shared" ref="H13:K13" si="7">$C$3*(1+$A$11)^H10</f>
        <v>563678.5</v>
      </c>
      <c r="I13" s="80">
        <f t="shared" si="7"/>
        <v>907809.861</v>
      </c>
      <c r="J13" s="80">
        <f t="shared" si="7"/>
        <v>1462036.859</v>
      </c>
      <c r="K13" s="80">
        <f t="shared" si="7"/>
        <v>2354624.982</v>
      </c>
      <c r="L13" s="69"/>
    </row>
    <row r="14">
      <c r="A14" s="69"/>
      <c r="B14" s="64">
        <v>5.0</v>
      </c>
      <c r="C14" s="64">
        <v>10.0</v>
      </c>
      <c r="D14" s="64">
        <v>15.0</v>
      </c>
      <c r="E14" s="64">
        <v>20.0</v>
      </c>
      <c r="F14" s="69"/>
      <c r="G14" s="69"/>
      <c r="H14" s="69"/>
      <c r="I14" s="69"/>
      <c r="J14" s="69"/>
      <c r="K14" s="69"/>
      <c r="L14" s="69"/>
    </row>
    <row r="15">
      <c r="A15" s="79">
        <v>0.06</v>
      </c>
      <c r="B15" s="80">
        <v>856464.3696640002</v>
      </c>
      <c r="C15" s="80">
        <v>1146142.5257874269</v>
      </c>
      <c r="D15" s="80">
        <v>1533797.2435838026</v>
      </c>
      <c r="E15" s="80">
        <v>2052566.7022162226</v>
      </c>
      <c r="F15" s="69"/>
      <c r="G15" s="69"/>
      <c r="H15" s="69"/>
      <c r="I15" s="69"/>
      <c r="J15" s="69"/>
      <c r="K15" s="69"/>
      <c r="L15" s="69"/>
    </row>
    <row r="16">
      <c r="A16" s="79">
        <v>0.08</v>
      </c>
      <c r="B16" s="80">
        <v>940369.9691520004</v>
      </c>
      <c r="C16" s="80">
        <v>1381711.9982545844</v>
      </c>
      <c r="D16" s="80">
        <v>2030188.233086894</v>
      </c>
      <c r="E16" s="80">
        <v>2983012.5720635573</v>
      </c>
      <c r="F16" s="69"/>
      <c r="G16" s="69"/>
      <c r="H16" s="69"/>
      <c r="I16" s="69"/>
      <c r="J16" s="69"/>
      <c r="K16" s="69"/>
      <c r="L16" s="69"/>
    </row>
    <row r="17">
      <c r="A17" s="79">
        <v>0.1</v>
      </c>
      <c r="B17" s="80">
        <v>1030726.4000000004</v>
      </c>
      <c r="C17" s="80">
        <v>1659995.1744640016</v>
      </c>
      <c r="D17" s="80">
        <v>2673438.82842602</v>
      </c>
      <c r="E17" s="80">
        <v>4305599.967568391</v>
      </c>
      <c r="F17" s="69"/>
      <c r="G17" s="69"/>
      <c r="H17" s="69"/>
      <c r="I17" s="69"/>
      <c r="J17" s="69"/>
      <c r="K17" s="69"/>
      <c r="L17" s="69"/>
    </row>
    <row r="18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</row>
    <row r="19">
      <c r="A19" s="69"/>
      <c r="B19" s="64" t="s">
        <v>410</v>
      </c>
      <c r="C19" s="64" t="s">
        <v>411</v>
      </c>
      <c r="D19" s="69"/>
      <c r="E19" s="69"/>
      <c r="F19" s="69"/>
      <c r="G19" s="64" t="s">
        <v>412</v>
      </c>
      <c r="H19" s="64" t="s">
        <v>413</v>
      </c>
      <c r="I19" s="64" t="s">
        <v>414</v>
      </c>
      <c r="J19" s="64" t="s">
        <v>415</v>
      </c>
      <c r="K19" s="64" t="s">
        <v>416</v>
      </c>
      <c r="L19" s="64" t="s">
        <v>417</v>
      </c>
      <c r="M19" s="64"/>
      <c r="N19" s="69"/>
      <c r="O19" s="69"/>
      <c r="P19" s="69"/>
    </row>
    <row r="20">
      <c r="A20" s="81">
        <v>45713.0</v>
      </c>
      <c r="B20" s="82">
        <v>600.0</v>
      </c>
      <c r="C20" s="83">
        <f>B20</f>
        <v>600</v>
      </c>
      <c r="D20" s="69"/>
      <c r="E20" s="69"/>
      <c r="F20" s="69"/>
      <c r="G20" s="83">
        <f t="shared" ref="G20:G26" si="8">H20/$I$29</f>
        <v>236.2903226</v>
      </c>
      <c r="H20" s="82">
        <v>100.0</v>
      </c>
      <c r="I20" s="84">
        <f t="shared" ref="I20:I26" si="9">H20*$C$26</f>
        <v>420000</v>
      </c>
      <c r="J20" s="80">
        <f t="shared" ref="J20:J26" si="10">I20*0.8</f>
        <v>336000</v>
      </c>
      <c r="K20" s="78">
        <v>0.0</v>
      </c>
      <c r="L20" s="80">
        <f t="shared" ref="L20:L26" si="11">J20-K20</f>
        <v>336000</v>
      </c>
      <c r="M20" s="69"/>
      <c r="N20" s="69"/>
      <c r="O20" s="69"/>
    </row>
    <row r="21">
      <c r="A21" s="85">
        <v>45802.0</v>
      </c>
      <c r="B21" s="82">
        <v>600.0</v>
      </c>
      <c r="C21" s="83">
        <f>B21+B20</f>
        <v>1200</v>
      </c>
      <c r="D21" s="69"/>
      <c r="E21" s="69"/>
      <c r="F21" s="69"/>
      <c r="G21" s="83">
        <f t="shared" si="8"/>
        <v>283.5483871</v>
      </c>
      <c r="H21" s="82">
        <v>120.0</v>
      </c>
      <c r="I21" s="84">
        <f t="shared" si="9"/>
        <v>504000</v>
      </c>
      <c r="J21" s="80">
        <f t="shared" si="10"/>
        <v>403200</v>
      </c>
      <c r="K21" s="80">
        <f t="shared" ref="K21:K26" si="12">(J21-$J$20)*0.24</f>
        <v>16128</v>
      </c>
      <c r="L21" s="80">
        <f t="shared" si="11"/>
        <v>387072</v>
      </c>
      <c r="M21" s="69"/>
      <c r="N21" s="69"/>
      <c r="O21" s="69"/>
    </row>
    <row r="22">
      <c r="A22" s="81">
        <v>45894.0</v>
      </c>
      <c r="B22" s="82">
        <v>600.0</v>
      </c>
      <c r="C22" s="83">
        <f>SUM(B20:B22)</f>
        <v>1800</v>
      </c>
      <c r="D22" s="69"/>
      <c r="E22" s="69"/>
      <c r="F22" s="69"/>
      <c r="G22" s="83">
        <f t="shared" si="8"/>
        <v>354.4354839</v>
      </c>
      <c r="H22" s="82">
        <v>150.0</v>
      </c>
      <c r="I22" s="84">
        <f t="shared" si="9"/>
        <v>630000</v>
      </c>
      <c r="J22" s="80">
        <f t="shared" si="10"/>
        <v>504000</v>
      </c>
      <c r="K22" s="80">
        <f t="shared" si="12"/>
        <v>40320</v>
      </c>
      <c r="L22" s="80">
        <f t="shared" si="11"/>
        <v>463680</v>
      </c>
      <c r="M22" s="69"/>
      <c r="N22" s="69"/>
      <c r="O22" s="69"/>
    </row>
    <row r="23">
      <c r="A23" s="81">
        <v>45986.0</v>
      </c>
      <c r="B23" s="82">
        <v>600.0</v>
      </c>
      <c r="C23" s="83">
        <f t="shared" ref="C23:C26" si="13">SUM($B$20:B23)</f>
        <v>2400</v>
      </c>
      <c r="D23" s="69"/>
      <c r="E23" s="69"/>
      <c r="F23" s="69"/>
      <c r="G23" s="83">
        <f t="shared" si="8"/>
        <v>472.5806452</v>
      </c>
      <c r="H23" s="82">
        <v>200.0</v>
      </c>
      <c r="I23" s="84">
        <f t="shared" si="9"/>
        <v>840000</v>
      </c>
      <c r="J23" s="80">
        <f t="shared" si="10"/>
        <v>672000</v>
      </c>
      <c r="K23" s="80">
        <f t="shared" si="12"/>
        <v>80640</v>
      </c>
      <c r="L23" s="80">
        <f t="shared" si="11"/>
        <v>591360</v>
      </c>
      <c r="M23" s="69"/>
      <c r="N23" s="69"/>
      <c r="O23" s="69"/>
    </row>
    <row r="24">
      <c r="A24" s="81">
        <v>45714.0</v>
      </c>
      <c r="B24" s="82">
        <v>600.0</v>
      </c>
      <c r="C24" s="83">
        <f t="shared" si="13"/>
        <v>3000</v>
      </c>
      <c r="D24" s="69"/>
      <c r="E24" s="69"/>
      <c r="F24" s="69"/>
      <c r="G24" s="83">
        <f t="shared" si="8"/>
        <v>708.8709677</v>
      </c>
      <c r="H24" s="82">
        <v>300.0</v>
      </c>
      <c r="I24" s="84">
        <f t="shared" si="9"/>
        <v>1260000</v>
      </c>
      <c r="J24" s="80">
        <f t="shared" si="10"/>
        <v>1008000</v>
      </c>
      <c r="K24" s="80">
        <f t="shared" si="12"/>
        <v>161280</v>
      </c>
      <c r="L24" s="80">
        <f t="shared" si="11"/>
        <v>846720</v>
      </c>
      <c r="M24" s="69"/>
    </row>
    <row r="25">
      <c r="A25" s="85">
        <v>45803.0</v>
      </c>
      <c r="B25" s="82">
        <v>600.0</v>
      </c>
      <c r="C25" s="83">
        <f t="shared" si="13"/>
        <v>3600</v>
      </c>
      <c r="D25" s="69"/>
      <c r="E25" s="69"/>
      <c r="F25" s="69"/>
      <c r="G25" s="83">
        <f t="shared" si="8"/>
        <v>1181.451613</v>
      </c>
      <c r="H25" s="82">
        <v>500.0</v>
      </c>
      <c r="I25" s="84">
        <f t="shared" si="9"/>
        <v>2100000</v>
      </c>
      <c r="J25" s="80">
        <f t="shared" si="10"/>
        <v>1680000</v>
      </c>
      <c r="K25" s="80">
        <f t="shared" si="12"/>
        <v>322560</v>
      </c>
      <c r="L25" s="80">
        <f t="shared" si="11"/>
        <v>1357440</v>
      </c>
      <c r="M25" s="69"/>
    </row>
    <row r="26">
      <c r="A26" s="81">
        <v>45895.0</v>
      </c>
      <c r="B26" s="82">
        <v>600.0</v>
      </c>
      <c r="C26" s="83">
        <f t="shared" si="13"/>
        <v>4200</v>
      </c>
      <c r="D26" s="69"/>
      <c r="E26" s="69"/>
      <c r="F26" s="69"/>
      <c r="G26" s="83">
        <f t="shared" si="8"/>
        <v>2362.903226</v>
      </c>
      <c r="H26" s="82">
        <v>1000.0</v>
      </c>
      <c r="I26" s="84">
        <f t="shared" si="9"/>
        <v>4200000</v>
      </c>
      <c r="J26" s="80">
        <f t="shared" si="10"/>
        <v>3360000</v>
      </c>
      <c r="K26" s="80">
        <f t="shared" si="12"/>
        <v>725760</v>
      </c>
      <c r="L26" s="80">
        <f t="shared" si="11"/>
        <v>2634240</v>
      </c>
      <c r="M26" s="69"/>
    </row>
    <row r="27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</row>
    <row r="28">
      <c r="A28" s="69"/>
      <c r="B28" s="69"/>
      <c r="C28" s="69"/>
      <c r="D28" s="69"/>
      <c r="E28" s="69"/>
      <c r="F28" s="69"/>
      <c r="G28" s="64" t="s">
        <v>412</v>
      </c>
      <c r="H28" s="64" t="s">
        <v>413</v>
      </c>
      <c r="I28" s="64" t="s">
        <v>418</v>
      </c>
      <c r="J28" s="69"/>
      <c r="K28" s="69"/>
      <c r="L28" s="69"/>
      <c r="M28" s="69"/>
    </row>
    <row r="29">
      <c r="A29" s="69"/>
      <c r="B29" s="69"/>
      <c r="C29" s="69"/>
      <c r="D29" s="69"/>
      <c r="E29" s="69"/>
      <c r="F29" s="69"/>
      <c r="G29" s="64">
        <v>293.0</v>
      </c>
      <c r="H29" s="64">
        <v>124.0</v>
      </c>
      <c r="I29" s="86">
        <f>H29/G29</f>
        <v>0.4232081911</v>
      </c>
      <c r="J29" s="69"/>
      <c r="K29" s="69"/>
      <c r="L29" s="69"/>
      <c r="M29" s="69"/>
    </row>
    <row r="30">
      <c r="F30" s="69"/>
      <c r="G30" s="69"/>
      <c r="H30" s="69"/>
      <c r="I30" s="69"/>
      <c r="J30" s="69"/>
      <c r="K30" s="6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7" max="7" width="15.88"/>
  </cols>
  <sheetData>
    <row r="1">
      <c r="A1" s="87" t="s">
        <v>419</v>
      </c>
      <c r="B1" s="87" t="s">
        <v>420</v>
      </c>
      <c r="C1" s="87" t="s">
        <v>421</v>
      </c>
      <c r="D1" s="7"/>
      <c r="E1" s="7"/>
      <c r="F1" s="7"/>
      <c r="G1" s="7"/>
      <c r="H1" s="7"/>
      <c r="I1" s="7"/>
      <c r="J1" s="7"/>
    </row>
    <row r="2">
      <c r="A2" s="87" t="s">
        <v>422</v>
      </c>
      <c r="B2" s="88">
        <v>240000.0</v>
      </c>
      <c r="C2" s="89">
        <v>320000.0</v>
      </c>
      <c r="D2" s="7"/>
      <c r="E2" s="7"/>
      <c r="F2" s="7"/>
      <c r="G2" s="87" t="s">
        <v>423</v>
      </c>
      <c r="H2" s="90">
        <v>0.29</v>
      </c>
      <c r="I2" s="7"/>
      <c r="J2" s="7"/>
    </row>
    <row r="3">
      <c r="A3" s="87" t="s">
        <v>424</v>
      </c>
      <c r="B3" s="91">
        <f t="shared" ref="B3:C3" si="1">B2*0.6</f>
        <v>144000</v>
      </c>
      <c r="C3" s="92">
        <f t="shared" si="1"/>
        <v>192000</v>
      </c>
      <c r="D3" s="7"/>
      <c r="E3" s="7"/>
      <c r="F3" s="7"/>
      <c r="G3" s="87" t="s">
        <v>425</v>
      </c>
      <c r="H3" s="90">
        <v>0.45</v>
      </c>
      <c r="I3" s="7"/>
      <c r="J3" s="7"/>
    </row>
    <row r="4">
      <c r="A4" s="87" t="s">
        <v>426</v>
      </c>
      <c r="B4" s="88">
        <v>35000.0</v>
      </c>
      <c r="C4" s="92">
        <v>50000.0</v>
      </c>
      <c r="D4" s="7"/>
      <c r="E4" s="7"/>
      <c r="F4" s="7"/>
      <c r="G4" s="7"/>
      <c r="H4" s="7"/>
      <c r="I4" s="7"/>
      <c r="J4" s="7"/>
    </row>
    <row r="5">
      <c r="A5" s="7"/>
      <c r="B5" s="91">
        <f t="shared" ref="B5:C5" si="2">SUM(B2:B4)</f>
        <v>419000</v>
      </c>
      <c r="C5" s="92">
        <f t="shared" si="2"/>
        <v>562000</v>
      </c>
      <c r="D5" s="7"/>
      <c r="E5" s="7"/>
      <c r="F5" s="7"/>
      <c r="G5" s="87" t="s">
        <v>427</v>
      </c>
      <c r="H5" s="88">
        <v>105000.0</v>
      </c>
      <c r="I5" s="7"/>
      <c r="J5" s="7"/>
    </row>
    <row r="6">
      <c r="A6" s="7"/>
      <c r="B6" s="7"/>
      <c r="C6" s="7"/>
      <c r="D6" s="7"/>
      <c r="E6" s="7"/>
      <c r="F6" s="7"/>
      <c r="G6" s="87" t="s">
        <v>428</v>
      </c>
      <c r="H6" s="87">
        <v>1.34</v>
      </c>
      <c r="I6" s="7"/>
      <c r="J6" s="7"/>
    </row>
    <row r="7">
      <c r="A7" s="7"/>
      <c r="B7" s="7"/>
      <c r="C7" s="7"/>
      <c r="D7" s="7"/>
      <c r="E7" s="7"/>
      <c r="F7" s="7"/>
      <c r="G7" s="87" t="s">
        <v>429</v>
      </c>
      <c r="H7" s="87">
        <v>0.74</v>
      </c>
      <c r="I7" s="7"/>
      <c r="J7" s="7"/>
    </row>
    <row r="8">
      <c r="A8" s="7"/>
      <c r="B8" s="87" t="s">
        <v>430</v>
      </c>
      <c r="C8" s="87" t="s">
        <v>431</v>
      </c>
      <c r="D8" s="7"/>
      <c r="E8" s="7"/>
      <c r="F8" s="7"/>
      <c r="G8" s="7"/>
      <c r="H8" s="7"/>
      <c r="I8" s="7"/>
      <c r="J8" s="7"/>
    </row>
    <row r="9">
      <c r="A9" s="87" t="s">
        <v>432</v>
      </c>
      <c r="B9" s="14"/>
      <c r="C9" s="92">
        <f t="shared" ref="C9:C13" si="3">B9*$H$6</f>
        <v>0</v>
      </c>
      <c r="D9" s="7"/>
      <c r="E9" s="7"/>
      <c r="F9" s="7"/>
      <c r="G9" s="7"/>
      <c r="H9" s="7"/>
      <c r="I9" s="7"/>
      <c r="J9" s="7"/>
    </row>
    <row r="10">
      <c r="A10" s="87" t="s">
        <v>433</v>
      </c>
      <c r="B10" s="14">
        <v>85000.0</v>
      </c>
      <c r="C10" s="92">
        <f t="shared" si="3"/>
        <v>113900</v>
      </c>
      <c r="D10" s="7"/>
      <c r="E10" s="7"/>
      <c r="F10" s="7"/>
      <c r="G10" s="87" t="s">
        <v>434</v>
      </c>
      <c r="H10" s="7"/>
      <c r="I10" s="7"/>
      <c r="J10" s="7"/>
    </row>
    <row r="11">
      <c r="A11" s="87" t="s">
        <v>435</v>
      </c>
      <c r="B11" s="14">
        <v>85000.0</v>
      </c>
      <c r="C11" s="92">
        <f t="shared" si="3"/>
        <v>113900</v>
      </c>
      <c r="D11" s="7"/>
      <c r="E11" s="7"/>
      <c r="F11" s="7"/>
      <c r="G11" s="7"/>
      <c r="H11" s="7"/>
      <c r="I11" s="7"/>
      <c r="J11" s="7"/>
    </row>
    <row r="12">
      <c r="A12" s="87" t="s">
        <v>436</v>
      </c>
      <c r="B12" s="14">
        <v>85000.0</v>
      </c>
      <c r="C12" s="92">
        <f t="shared" si="3"/>
        <v>113900</v>
      </c>
      <c r="D12" s="7"/>
      <c r="E12" s="7"/>
      <c r="F12" s="7"/>
      <c r="G12" s="7"/>
      <c r="H12" s="7"/>
      <c r="I12" s="7"/>
      <c r="J12" s="7"/>
    </row>
    <row r="13">
      <c r="A13" s="7"/>
      <c r="B13" s="93">
        <f>SUM(B9:B12)</f>
        <v>255000</v>
      </c>
      <c r="C13" s="92">
        <f t="shared" si="3"/>
        <v>341700</v>
      </c>
      <c r="D13" s="7"/>
      <c r="E13" s="7"/>
      <c r="F13" s="7"/>
      <c r="G13" s="7"/>
      <c r="H13" s="7"/>
      <c r="I13" s="7"/>
      <c r="J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</row>
    <row r="16">
      <c r="A16" s="7"/>
      <c r="B16" s="7"/>
      <c r="C16" s="87" t="s">
        <v>437</v>
      </c>
      <c r="D16" s="87" t="s">
        <v>438</v>
      </c>
      <c r="E16" s="87" t="s">
        <v>439</v>
      </c>
      <c r="F16" s="87" t="s">
        <v>440</v>
      </c>
      <c r="G16" s="7"/>
      <c r="H16" s="7"/>
      <c r="I16" s="7"/>
      <c r="J16" s="7"/>
    </row>
    <row r="17">
      <c r="A17" s="7"/>
      <c r="B17" s="87" t="s">
        <v>441</v>
      </c>
      <c r="C17" s="93">
        <f>B13+(H5*(1-H3))</f>
        <v>312750</v>
      </c>
      <c r="D17" s="92">
        <f t="shared" ref="D17:F17" si="4">(($H$5+45000)*(1-$H$3)*$H$6)</f>
        <v>110550</v>
      </c>
      <c r="E17" s="92">
        <f t="shared" si="4"/>
        <v>110550</v>
      </c>
      <c r="F17" s="92">
        <f t="shared" si="4"/>
        <v>110550</v>
      </c>
      <c r="G17" s="7"/>
      <c r="H17" s="7"/>
      <c r="I17" s="7"/>
      <c r="J17" s="7"/>
    </row>
    <row r="18">
      <c r="A18" s="7"/>
      <c r="B18" s="87" t="s">
        <v>419</v>
      </c>
      <c r="C18" s="91">
        <f>B5*(1-H3)</f>
        <v>230450</v>
      </c>
      <c r="D18" s="92">
        <f>($C$5+50000)*(1-$H$2)</f>
        <v>434520</v>
      </c>
      <c r="E18" s="92">
        <f>($C$5+100000)*(1-$H$2)</f>
        <v>470020</v>
      </c>
      <c r="F18" s="92">
        <f>($C$5+150000)*(1-$H$2)</f>
        <v>505520</v>
      </c>
      <c r="G18" s="7"/>
      <c r="H18" s="7"/>
      <c r="I18" s="7"/>
      <c r="J18" s="7"/>
    </row>
    <row r="19">
      <c r="A19" s="7"/>
      <c r="B19" s="87" t="s">
        <v>442</v>
      </c>
      <c r="C19" s="92">
        <f>(C18-C17)*H6</f>
        <v>-110282</v>
      </c>
      <c r="D19" s="92">
        <f t="shared" ref="D19:F19" si="5">(D18-D17)</f>
        <v>323970</v>
      </c>
      <c r="E19" s="92">
        <f t="shared" si="5"/>
        <v>359470</v>
      </c>
      <c r="F19" s="92">
        <f t="shared" si="5"/>
        <v>394970</v>
      </c>
      <c r="G19" s="92">
        <f>SUM(C19:F19)</f>
        <v>968128</v>
      </c>
      <c r="H19" s="7"/>
      <c r="I19" s="7"/>
      <c r="J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</row>
    <row r="21">
      <c r="A21" s="7"/>
      <c r="B21" s="87" t="s">
        <v>443</v>
      </c>
      <c r="C21" s="94">
        <f>12+D22</f>
        <v>15.04562276</v>
      </c>
      <c r="D21" s="92">
        <f>D18/12</f>
        <v>36210</v>
      </c>
      <c r="E21" s="7"/>
      <c r="F21" s="7"/>
      <c r="G21" s="7"/>
      <c r="H21" s="7"/>
      <c r="I21" s="7"/>
      <c r="J21" s="7"/>
    </row>
    <row r="22">
      <c r="A22" s="7"/>
      <c r="B22" s="7"/>
      <c r="C22" s="7"/>
      <c r="D22" s="94">
        <f>ABS(C19/D21)</f>
        <v>3.045622756</v>
      </c>
      <c r="E22" s="7"/>
      <c r="F22" s="7"/>
      <c r="G22" s="7"/>
      <c r="H22" s="7"/>
      <c r="I22" s="7"/>
      <c r="J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7.13"/>
    <col customWidth="1" min="4" max="4" width="14.0"/>
    <col customWidth="1" min="5" max="5" width="10.63"/>
    <col customWidth="1" min="6" max="6" width="35.63"/>
    <col customWidth="1" min="8" max="8" width="21.13"/>
  </cols>
  <sheetData>
    <row r="1" ht="22.5" customHeight="1">
      <c r="A1" s="65" t="s">
        <v>368</v>
      </c>
      <c r="B1" s="65" t="s">
        <v>444</v>
      </c>
      <c r="C1" s="65" t="s">
        <v>445</v>
      </c>
      <c r="D1" s="65" t="s">
        <v>446</v>
      </c>
      <c r="E1" s="65" t="s">
        <v>447</v>
      </c>
      <c r="F1" s="65" t="s">
        <v>448</v>
      </c>
      <c r="H1" s="95" t="s">
        <v>449</v>
      </c>
      <c r="I1" s="88">
        <v>150000.0</v>
      </c>
    </row>
    <row r="2" ht="22.5" customHeight="1">
      <c r="A2" s="65" t="s">
        <v>450</v>
      </c>
      <c r="B2" s="96">
        <v>50000.0</v>
      </c>
      <c r="C2" s="65" t="s">
        <v>451</v>
      </c>
      <c r="D2" s="68" t="s">
        <v>452</v>
      </c>
      <c r="E2" s="65">
        <v>2027.0</v>
      </c>
      <c r="F2" s="65" t="s">
        <v>453</v>
      </c>
      <c r="H2" s="95" t="s">
        <v>454</v>
      </c>
      <c r="I2" s="91">
        <f>I1-Financial_Commitments_26_27[[#TOTALS],[Amount]]</f>
        <v>13000</v>
      </c>
    </row>
    <row r="3" ht="22.5" customHeight="1">
      <c r="A3" s="65" t="s">
        <v>455</v>
      </c>
      <c r="B3" s="96">
        <v>18000.0</v>
      </c>
      <c r="C3" s="65" t="s">
        <v>456</v>
      </c>
      <c r="D3" s="68" t="s">
        <v>452</v>
      </c>
      <c r="E3" s="65" t="s">
        <v>457</v>
      </c>
      <c r="F3" s="65" t="s">
        <v>458</v>
      </c>
    </row>
    <row r="4" ht="22.5" customHeight="1">
      <c r="A4" s="65" t="s">
        <v>459</v>
      </c>
      <c r="B4" s="96">
        <v>5000.0</v>
      </c>
      <c r="C4" s="65" t="s">
        <v>451</v>
      </c>
      <c r="D4" s="68" t="s">
        <v>452</v>
      </c>
      <c r="E4" s="65">
        <v>2025.0</v>
      </c>
      <c r="F4" s="65" t="s">
        <v>460</v>
      </c>
    </row>
    <row r="5" ht="22.5" customHeight="1">
      <c r="A5" s="65" t="s">
        <v>461</v>
      </c>
      <c r="B5" s="96">
        <v>5000.0</v>
      </c>
      <c r="C5" s="65" t="s">
        <v>451</v>
      </c>
      <c r="D5" s="68" t="s">
        <v>452</v>
      </c>
      <c r="E5" s="65" t="s">
        <v>457</v>
      </c>
      <c r="F5" s="65" t="s">
        <v>462</v>
      </c>
    </row>
    <row r="6" ht="22.5" customHeight="1">
      <c r="A6" s="65" t="s">
        <v>463</v>
      </c>
      <c r="B6" s="96">
        <v>5000.0</v>
      </c>
      <c r="C6" s="65" t="s">
        <v>451</v>
      </c>
      <c r="D6" s="68" t="s">
        <v>464</v>
      </c>
      <c r="E6" s="65">
        <v>2025.0</v>
      </c>
      <c r="F6" s="65" t="s">
        <v>465</v>
      </c>
    </row>
    <row r="7" ht="22.5" customHeight="1">
      <c r="A7" s="65" t="s">
        <v>466</v>
      </c>
      <c r="B7" s="96">
        <v>10000.0</v>
      </c>
      <c r="C7" s="65" t="s">
        <v>451</v>
      </c>
      <c r="D7" s="68" t="s">
        <v>464</v>
      </c>
      <c r="E7" s="65" t="s">
        <v>457</v>
      </c>
      <c r="F7" s="65" t="s">
        <v>467</v>
      </c>
    </row>
    <row r="8" ht="22.5" customHeight="1">
      <c r="A8" s="65" t="s">
        <v>468</v>
      </c>
      <c r="B8" s="96">
        <v>3000.0</v>
      </c>
      <c r="C8" s="65" t="s">
        <v>451</v>
      </c>
      <c r="D8" s="68" t="s">
        <v>464</v>
      </c>
      <c r="E8" s="65">
        <v>2025.0</v>
      </c>
      <c r="F8" s="65" t="s">
        <v>469</v>
      </c>
    </row>
    <row r="9" ht="22.5" customHeight="1">
      <c r="A9" s="65" t="s">
        <v>470</v>
      </c>
      <c r="B9" s="96">
        <v>5000.0</v>
      </c>
      <c r="C9" s="65" t="s">
        <v>451</v>
      </c>
      <c r="D9" s="68" t="s">
        <v>471</v>
      </c>
      <c r="E9" s="65">
        <v>2025.0</v>
      </c>
      <c r="F9" s="65" t="s">
        <v>472</v>
      </c>
    </row>
    <row r="10" ht="22.5" customHeight="1">
      <c r="A10" s="65" t="s">
        <v>473</v>
      </c>
      <c r="B10" s="96">
        <v>20000.0</v>
      </c>
      <c r="C10" s="65" t="s">
        <v>474</v>
      </c>
      <c r="D10" s="68" t="s">
        <v>452</v>
      </c>
      <c r="E10" s="65">
        <v>2025.0</v>
      </c>
      <c r="F10" s="65" t="s">
        <v>475</v>
      </c>
    </row>
    <row r="11" ht="22.5" customHeight="1">
      <c r="A11" s="65" t="s">
        <v>476</v>
      </c>
      <c r="B11" s="96">
        <v>16000.0</v>
      </c>
      <c r="C11" s="65" t="s">
        <v>477</v>
      </c>
      <c r="D11" s="68" t="s">
        <v>464</v>
      </c>
      <c r="E11" s="65" t="s">
        <v>457</v>
      </c>
      <c r="F11" s="65" t="s">
        <v>478</v>
      </c>
    </row>
    <row r="12" ht="22.5" customHeight="1">
      <c r="A12" s="97" t="s">
        <v>351</v>
      </c>
      <c r="B12" s="98">
        <f>SUM(Financial_Commitments_26_27[Amount])</f>
        <v>137000</v>
      </c>
      <c r="C12" s="99"/>
      <c r="D12" s="100"/>
      <c r="E12" s="99"/>
      <c r="F12" s="99"/>
    </row>
    <row r="13">
      <c r="A13" s="101"/>
      <c r="B13" s="102"/>
      <c r="C13" s="103"/>
      <c r="D13" s="104"/>
      <c r="E13" s="103"/>
      <c r="F13" s="103"/>
    </row>
    <row r="14">
      <c r="A14" s="87"/>
      <c r="B14" s="105"/>
      <c r="C14" s="7"/>
      <c r="D14" s="7"/>
      <c r="E14" s="7"/>
      <c r="F14" s="7"/>
    </row>
    <row r="15">
      <c r="A15" s="87"/>
      <c r="B15" s="105"/>
      <c r="C15" s="7"/>
      <c r="D15" s="7"/>
      <c r="E15" s="7"/>
      <c r="F15" s="7"/>
    </row>
  </sheetData>
  <conditionalFormatting sqref="I2">
    <cfRule type="colorScale" priority="1">
      <colorScale>
        <cfvo type="formula" val="20000"/>
        <cfvo type="formula" val="5000"/>
        <cfvo type="formula" val="0"/>
        <color rgb="FF57BB8A"/>
        <color rgb="FFFFD666"/>
        <color rgb="FFE67C73"/>
      </colorScale>
    </cfRule>
  </conditionalFormatting>
  <dataValidations>
    <dataValidation type="list" allowBlank="1" showDropDown="1" showErrorMessage="1" sqref="D2:D11">
      <formula1>"Essential,High,Medium"</formula1>
    </dataValidation>
    <dataValidation type="custom" allowBlank="1" showDropDown="1" sqref="B2:B1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